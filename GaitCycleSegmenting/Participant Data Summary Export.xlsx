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06e87bdaaf04f4/Desktop/ENGG7291 Data/Data Collection/Left Leg Average - US^J EMG/"/>
    </mc:Choice>
  </mc:AlternateContent>
  <xr:revisionPtr revIDLastSave="40" documentId="13_ncr:1_{214C22B9-AE1B-40B3-A7C6-95BA9EE90F91}" xr6:coauthVersionLast="47" xr6:coauthVersionMax="47" xr10:uidLastSave="{7F558743-0AA1-43E9-BFC1-6F7254907D75}"/>
  <bookViews>
    <workbookView xWindow="22932" yWindow="-1572" windowWidth="23256" windowHeight="13896" xr2:uid="{50EE5896-8046-4454-B58A-48048AF99C0B}"/>
  </bookViews>
  <sheets>
    <sheet name="Data Collection" sheetId="1" r:id="rId1"/>
    <sheet name="Normalising" sheetId="2" r:id="rId2"/>
  </sheets>
  <definedNames>
    <definedName name="_xlnm._FilterDatabase" localSheetId="0" hidden="1">'Data Collection'!$A$1:$L$121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9" i="1" l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98" i="1" l="1"/>
  <c r="L76" i="1" l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5" i="1" l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 l="1"/>
  <c r="L36" i="1"/>
  <c r="L35" i="1"/>
  <c r="L34" i="1"/>
  <c r="L33" i="1"/>
  <c r="L32" i="1"/>
  <c r="L31" i="1"/>
  <c r="L30" i="1"/>
  <c r="L29" i="1"/>
  <c r="L28" i="1"/>
  <c r="L27" i="1"/>
  <c r="L26" i="1"/>
  <c r="L17" i="1"/>
  <c r="L18" i="1"/>
  <c r="L19" i="1"/>
  <c r="L20" i="1"/>
  <c r="L21" i="1"/>
  <c r="L22" i="1"/>
  <c r="L23" i="1"/>
  <c r="L24" i="1"/>
  <c r="L25" i="1"/>
  <c r="L14" i="1"/>
  <c r="L15" i="1"/>
  <c r="L16" i="1"/>
  <c r="L12" i="1"/>
  <c r="L2" i="1"/>
  <c r="L3" i="1"/>
  <c r="L4" i="1"/>
  <c r="L5" i="1"/>
  <c r="L6" i="1"/>
  <c r="L7" i="1"/>
  <c r="L8" i="1"/>
  <c r="L9" i="1"/>
  <c r="L10" i="1"/>
  <c r="L11" i="1"/>
  <c r="L13" i="1"/>
</calcChain>
</file>

<file path=xl/sharedStrings.xml><?xml version="1.0" encoding="utf-8"?>
<sst xmlns="http://schemas.openxmlformats.org/spreadsheetml/2006/main" count="624" uniqueCount="156">
  <si>
    <t>PID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</si>
  <si>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</si>
  <si>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</si>
  <si>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</si>
  <si>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</si>
  <si>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</si>
  <si>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</si>
  <si>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</si>
  <si>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</si>
  <si>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</si>
  <si>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</si>
  <si>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Helper</t>
  </si>
  <si>
    <t>Condition</t>
  </si>
  <si>
    <t>Incline (degrees)</t>
  </si>
  <si>
    <t>Assistance (Nm/100kg)</t>
  </si>
  <si>
    <t>Speed (% PWS)</t>
  </si>
  <si>
    <t>File Name</t>
  </si>
  <si>
    <t>Time</t>
  </si>
  <si>
    <t>Trial</t>
  </si>
  <si>
    <t>Use?</t>
  </si>
  <si>
    <t>Name</t>
  </si>
  <si>
    <t>085</t>
  </si>
  <si>
    <t>Use</t>
  </si>
  <si>
    <t>00</t>
  </si>
  <si>
    <t>100</t>
  </si>
  <si>
    <t>115</t>
  </si>
  <si>
    <t>15</t>
  </si>
  <si>
    <t>Weight</t>
  </si>
  <si>
    <t>FL_opt</t>
  </si>
  <si>
    <t>FA_opt</t>
  </si>
  <si>
    <t>FP_opt</t>
  </si>
  <si>
    <t>MG_MVC</t>
  </si>
  <si>
    <t>LG_MVC</t>
  </si>
  <si>
    <t>SOL_MVC</t>
  </si>
  <si>
    <t>TA_MVC</t>
  </si>
  <si>
    <t>VNA Data 2026_02_19 15-36-03.mat</t>
  </si>
  <si>
    <t>VNA Data 2026_02_19 15-52-35.mat</t>
  </si>
  <si>
    <t>VNA Data 2026_02_19 15-59-33.mat</t>
  </si>
  <si>
    <t>VNA Data 2026_02_19 16-13-39.mat</t>
  </si>
  <si>
    <t>VNA Data 2026_02_19 16-15-36.mat</t>
  </si>
  <si>
    <t>VNA Data 2026_02_19 16-21-10.mat</t>
  </si>
  <si>
    <t>VNA Data 2026_02_19 16-50-15.mat</t>
  </si>
  <si>
    <t>VNA Data 2026_02_19 16-52-00.mat</t>
  </si>
  <si>
    <t>VNA Data 2026_02_19 16-58-27.mat</t>
  </si>
  <si>
    <t>VNA Data 2026_02_19 17-03-01.mat</t>
  </si>
  <si>
    <t>VNA Data 2026_02_19 17-06-42.mat</t>
  </si>
  <si>
    <t>VNA Data 2026_02_19 17-12-21.mat</t>
  </si>
  <si>
    <t>VNA Data 2026_03_09 15-12-19.mat</t>
  </si>
  <si>
    <t>VNA Data 2026_03_09 15-24-51.mat</t>
  </si>
  <si>
    <t>VNA Data 2026_03_09 15-34-15.mat</t>
  </si>
  <si>
    <t>VNA Data 2026_03_09 15-41-00.mat</t>
  </si>
  <si>
    <t>VNA Data 2026_03_09 15-45-32.mat</t>
  </si>
  <si>
    <t>VNA Data 2026_03_09 15-54-29.mat</t>
  </si>
  <si>
    <t>VNA Data 2026_03_09 16-14-15.mat</t>
  </si>
  <si>
    <t>VNA Data 2026_03_09 16-18-42.mat</t>
  </si>
  <si>
    <t>VNA Data 2026_03_09 16-34-58.mat</t>
  </si>
  <si>
    <t>VNA Data 2026_03_09 16-53-26.mat</t>
  </si>
  <si>
    <t>VNA Data 2026_03_09 16-57-00.mat</t>
  </si>
  <si>
    <t>VNA Data 2026_03_09 17-01-39.mat</t>
  </si>
  <si>
    <t>VNA Data 2026_03_11 15-07-33.mat</t>
  </si>
  <si>
    <t>VNA Data 2026_03_11 15-36-52.mat</t>
  </si>
  <si>
    <t>VNA Data 2026_03_11 15-56-54.mat</t>
  </si>
  <si>
    <t>VNA Data 2026_03_11 16-04-07.mat</t>
  </si>
  <si>
    <t>VNA Data 2026_03_11 16-09-52.mat</t>
  </si>
  <si>
    <t>VNA Data 2026_03_11 16-18-39.mat</t>
  </si>
  <si>
    <t>VNA Data 2026_03_11 16-35-30.mat</t>
  </si>
  <si>
    <t>VNA Data 2026_03_11 16-38-56.mat</t>
  </si>
  <si>
    <t>VNA Data 2026_03_11 16-48-35.mat</t>
  </si>
  <si>
    <t>VNA Data 2026_03_11 17-03-29.mat</t>
  </si>
  <si>
    <t>VNA Data 2026_03_11 17-13-35.mat</t>
  </si>
  <si>
    <t>VNA Data 2026_03_11 17-21-00.mat</t>
  </si>
  <si>
    <t>VNA Data 2026_03_16 14-45-55.mat</t>
  </si>
  <si>
    <t>VNA Data 2026_03_16 14-49-13.mat</t>
  </si>
  <si>
    <t>VNA Data 2026_03_16 15-04-52.mat</t>
  </si>
  <si>
    <t>VNA Data 2026_03_16 15-25-33.mat</t>
  </si>
  <si>
    <t>VNA Data 2026_03_16 15-45-19.mat</t>
  </si>
  <si>
    <t>VNA Data 2026_03_16 15-59-42.mat</t>
  </si>
  <si>
    <t>VNA Data 2026_03_16 16-13-17.mat</t>
  </si>
  <si>
    <t>VNA Data 2026_03_16 16-22-30.mat</t>
  </si>
  <si>
    <t>VNA Data 2026_03_16 16-36-33.mat</t>
  </si>
  <si>
    <t>VNA Data 2026_03_16 16-43-03.mat</t>
  </si>
  <si>
    <t>VNA Data 2026_03_16 16-54-03.mat</t>
  </si>
  <si>
    <t>VNA Data 2026_03_16 16-56-44.mat</t>
  </si>
  <si>
    <t>VNA Data 2026_03_18 14-53-04.mat</t>
  </si>
  <si>
    <t>VNA Data 2026_03_18 15-32-15.mat</t>
  </si>
  <si>
    <t>VNA Data 2026_03_18 15-36-25.mat</t>
  </si>
  <si>
    <t>VNA Data 2026_03_18 15-53-12.mat</t>
  </si>
  <si>
    <t>VNA Data 2026_03_18 16-04-31.mat</t>
  </si>
  <si>
    <t>VNA Data 2026_03_18 16-08-54.mat</t>
  </si>
  <si>
    <t>VNA Data 2026_03_18 16-22-15.mat</t>
  </si>
  <si>
    <t>VNA Data 2026_03_18 16-36-55.mat</t>
  </si>
  <si>
    <t>VNA Data 2026_03_18 16-44-20.mat</t>
  </si>
  <si>
    <t>VNA Data 2026_03_18 17-02-50.mat</t>
  </si>
  <si>
    <t>VNA Data 2026_03_18 17-24-09.mat</t>
  </si>
  <si>
    <t>VNA Data 2026_03_18 17-29-42.mat</t>
  </si>
  <si>
    <t>VNA Data 2026_03_24 14-59-29.mat</t>
  </si>
  <si>
    <t>VNA Data 2026_03_24 15-05-06.mat</t>
  </si>
  <si>
    <t>VNA Data 2026_03_24 15-15-27.mat</t>
  </si>
  <si>
    <t>VNA Data 2026_03_24 15-35-13.mat</t>
  </si>
  <si>
    <t>VNA Data 2026_03_24 15-43-16.mat</t>
  </si>
  <si>
    <t>VNA Data 2026_03_24 15-53-54.mat</t>
  </si>
  <si>
    <t>VNA Data 2026_03_24 16-16-50.mat</t>
  </si>
  <si>
    <t>VNA Data 2026_03_24 16-21-35.mat</t>
  </si>
  <si>
    <t>VNA Data 2026_03_24 16-35-38.mat</t>
  </si>
  <si>
    <t>VNA Data 2026_03_24 16-51-02.mat</t>
  </si>
  <si>
    <t>VNA Data 2026_03_24 16-55-28.mat</t>
  </si>
  <si>
    <t>VNA Data 2026_03_24 17-04-11.mat</t>
  </si>
  <si>
    <t>VNA Data 2026_04_01 14-35-58.mat</t>
  </si>
  <si>
    <t>VNA Data 2026_04_01 14-47-42.mat</t>
  </si>
  <si>
    <t>VNA Data 2026_04_01 15-03-02.mat</t>
  </si>
  <si>
    <t>VNA Data 2026_04_01 15-18-24.mat</t>
  </si>
  <si>
    <t>VNA Data 2026_04_01 15-22-23.mat</t>
  </si>
  <si>
    <t>VNA Data 2026_04_01 15-27-05.mat</t>
  </si>
  <si>
    <t>VNA Data 2026_04_01 15-41-46.mat</t>
  </si>
  <si>
    <t>VNA Data 2026_04_01 15-48-44.mat</t>
  </si>
  <si>
    <t>VNA Data 2026_04_01 15-53-35.mat</t>
  </si>
  <si>
    <t>VNA Data 2026_04_01 16-07-08.mat</t>
  </si>
  <si>
    <t>VNA Data 2026_04_01 16-11-02.mat</t>
  </si>
  <si>
    <t>VNA Data 2026_04_01 16-25-17.mat</t>
  </si>
  <si>
    <t>VNA Data 2026_04_03 14-18-07.mat</t>
  </si>
  <si>
    <t>VNA Data 2026_04_03 14-28-32.mat</t>
  </si>
  <si>
    <t>VNA Data 2026_04_03 14-31-44.mat</t>
  </si>
  <si>
    <t>VNA Data 2026_04_03 14-42-36.mat</t>
  </si>
  <si>
    <t>VNA Data 2026_04_03 14-53-34.mat</t>
  </si>
  <si>
    <t>VNA Data 2026_04_03 14-59-59.mat</t>
  </si>
  <si>
    <t>VNA Data 2026_04_03 15-15-59.mat</t>
  </si>
  <si>
    <t>VNA Data 2026_04_03 15-37-36.mat</t>
  </si>
  <si>
    <t>VNA Data 2026_04_03 15-48-02.mat</t>
  </si>
  <si>
    <t>VNA Data 2026_04_03 15-53-47.mat</t>
  </si>
  <si>
    <t>VNA Data 2026_04_03 16-05-04.mat</t>
  </si>
  <si>
    <t>VNA Data 2026_04_03 16-13-24.mat</t>
  </si>
  <si>
    <t>VNA Data 2026_04_06 14-44-36.mat</t>
  </si>
  <si>
    <t>VNA Data 2026_04_06 14-57-51.mat</t>
  </si>
  <si>
    <t>VNA Data 2026_04_06 15-02-16.mat</t>
  </si>
  <si>
    <t>VNA Data 2026_04_06 15-12-31.mat</t>
  </si>
  <si>
    <t>VNA Data 2026_04_06 15-17-39.mat</t>
  </si>
  <si>
    <t>VNA Data 2026_04_06 15-50-46.mat</t>
  </si>
  <si>
    <t>VNA Data 2026_04_06 16-01-12.mat</t>
  </si>
  <si>
    <t>VNA Data 2026_04_06 16-09-31.mat</t>
  </si>
  <si>
    <t>VNA Data 2026_04_06 16-13-50.mat</t>
  </si>
  <si>
    <t>VNA Data 2026_04_06 16-23-48.mat</t>
  </si>
  <si>
    <t>VNA Data 2026_04_06 16-33-04.mat</t>
  </si>
  <si>
    <t>VNA Data 2026_04_06 16-41-11.mat</t>
  </si>
  <si>
    <t>VNA Data 2026_04_08 14-00-31.mat</t>
  </si>
  <si>
    <t>VNA Data 2026_04_08 14-06-48.mat</t>
  </si>
  <si>
    <t>VNA Data 2026_04_08 14-09-14.mat</t>
  </si>
  <si>
    <t>VNA Data 2026_04_08 14-20-56.mat</t>
  </si>
  <si>
    <t>VNA Data 2026_04_08 14-28-06.mat</t>
  </si>
  <si>
    <t>VNA Data 2026_04_08 14-31-33.mat</t>
  </si>
  <si>
    <t>VNA Data 2026_04_08 14-46-49.mat</t>
  </si>
  <si>
    <t>VNA Data 2026_04_08 14-56-21.mat</t>
  </si>
  <si>
    <t>VNA Data 2026_04_08 14-59-35.mat</t>
  </si>
  <si>
    <t>VNA Data 2026_04_08 15-09-36.mat</t>
  </si>
  <si>
    <t>VNA Data 2026_04_08 15-14-06.mat</t>
  </si>
  <si>
    <t>VNA Data 2026_04_08 15-22-40.mat</t>
  </si>
  <si>
    <t>UWB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</si>
</sst>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 applyAlignment="1">
      <alignment vertical="center"/>
    </xf>
    <xf numFmtId="0" fontId="0" fillId="0" borderId="4" xfId="0" applyBorder="1"/>
    <xf numFmtId="0" fontId="0" fillId="0" borderId="7" xfId="0" applyBorder="1"/>
    <xf numFmtId="20" fontId="0" fillId="0" borderId="7" xfId="0" applyNumberFormat="1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20" fontId="0" fillId="0" borderId="11" xfId="0" applyNumberFormat="1" applyBorder="1"/>
    <xf numFmtId="49" fontId="0" fillId="0" borderId="11" xfId="0" applyNumberFormat="1" applyBorder="1"/>
    <xf numFmtId="49" fontId="0" fillId="0" borderId="7" xfId="0" applyNumberFormat="1" applyBorder="1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49" fontId="1" fillId="0" borderId="3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49" fontId="0" fillId="0" borderId="0" xfId="0" applyNumberFormat="1"/>
    <xf numFmtId="20" fontId="0" fillId="0" borderId="0" xfId="0" applyNumberFormat="1"/>
    <xf numFmtId="49" fontId="1" fillId="0" borderId="12" xfId="0" applyNumberFormat="1" applyFont="1" applyBorder="1" applyAlignment="1">
      <alignment wrapText="1"/>
    </xf>
    <xf numFmtId="49" fontId="0" fillId="0" borderId="13" xfId="0" applyNumberFormat="1" applyBorder="1"/>
    <xf numFmtId="49" fontId="0" fillId="0" borderId="14" xfId="0" applyNumberFormat="1" applyBorder="1"/>
    <xf numFmtId="49" fontId="0" fillId="0" borderId="15" xfId="0" applyNumberFormat="1" applyBorder="1"/>
    <xf numFmtId="0" fontId="1" fillId="3" borderId="1" xfId="0" applyFont="1" applyFill="1" applyBorder="1" applyAlignment="1">
      <alignment wrapText="1"/>
    </xf>
    <xf numFmtId="0" fontId="2" fillId="0" borderId="5" xfId="0" applyFont="1" applyBorder="1"/>
    <xf numFmtId="0" fontId="3" fillId="0" borderId="5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6" xfId="0" applyFont="1" applyBorder="1"/>
    <xf numFmtId="0" fontId="1" fillId="0" borderId="5" xfId="0" applyFon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9E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E774-3667-45A3-A378-5DBD21E586C0}">
  <dimension ref="A1:M121"/>
  <sheetViews>
    <sheetView tabSelected="1" zoomScale="77" zoomScaleNormal="100"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1" width="5.7109375" style="6" customWidth="1"/>
    <col min="2" max="2" width="6.42578125" style="6" bestFit="1" customWidth="1"/>
    <col min="3" max="3" width="10.28515625" style="6" bestFit="1" customWidth="1"/>
    <col min="4" max="4" width="11.140625" style="2" bestFit="1" customWidth="1"/>
    <col min="5" max="5" width="13.140625" style="21" customWidth="1"/>
    <col min="6" max="6" width="9.28515625" style="24" customWidth="1"/>
    <col min="7" max="7" width="8.28515625" style="30" bestFit="1" customWidth="1"/>
    <col min="8" max="8" width="7.28515625" bestFit="1" customWidth="1"/>
    <col min="9" max="9" width="6.85546875" style="6" customWidth="1"/>
    <col min="10" max="10" width="16.85546875" style="6" customWidth="1"/>
    <col min="11" max="11" width="32.5703125" style="6" bestFit="1" customWidth="1"/>
    <col min="12" max="12" width="23" style="6" bestFit="1" customWidth="1"/>
  </cols>
  <sheetData>
    <row r="1" spans="1:12" s="19" customFormat="1" ht="30.75" thickBot="1" x14ac:dyDescent="0.3">
      <c r="A1" s="20" t="s">
        <v>11</v>
      </c>
      <c r="B1" s="14" t="s">
        <v>0</v>
      </c>
      <c r="C1" s="14" t="s">
        <v>12</v>
      </c>
      <c r="D1" s="17" t="s">
        <v>13</v>
      </c>
      <c r="E1" s="16" t="s">
        <v>14</v>
      </c>
      <c r="F1" s="23" t="s">
        <v>15</v>
      </c>
      <c r="G1" s="17" t="s">
        <v>16</v>
      </c>
      <c r="H1" s="15" t="s">
        <v>17</v>
      </c>
      <c r="I1" s="14" t="s">
        <v>18</v>
      </c>
      <c r="J1" s="18" t="s">
        <v>19</v>
      </c>
      <c r="K1" s="27" t="s">
        <v>155</v>
      </c>
      <c r="L1" s="14" t="s">
        <v>20</v>
      </c>
    </row>
    <row r="2" spans="1:12" x14ac:dyDescent="0.25">
      <c r="A2" s="6">
        <v>2</v>
      </c>
      <c r="B2" s="1" t="s">
        <v>1</v>
      </c>
      <c r="C2" s="6">
        <v>1</v>
      </c>
      <c r="D2" s="2">
        <v>5</v>
      </c>
      <c r="E2" s="21">
        <v>15</v>
      </c>
      <c r="F2" s="24" t="s">
        <v>21</v>
      </c>
      <c r="G2" s="30">
        <v>2</v>
      </c>
      <c r="H2" s="22">
        <v>0.15</v>
      </c>
      <c r="I2" s="6">
        <v>2</v>
      </c>
      <c r="J2" s="6" t="s">
        <v>22</v>
      </c>
      <c r="K2" s="6" t="s">
        <v>35</v>
      </c>
      <c r="L2" s="6" t="str">
        <f t="shared" ref="L2:L26" si="0">B2&amp;"_I"&amp;D2&amp;"_A"&amp;E2&amp;"_S"&amp;F2&amp;"_T"&amp;I2&amp;IF(J2="Use","_"&amp;J2,)</f>
        <v>S01_I5_A15_S085_T2_Use</v>
      </c>
    </row>
    <row r="3" spans="1:12" x14ac:dyDescent="0.25">
      <c r="A3" s="6">
        <v>5</v>
      </c>
      <c r="B3" s="1" t="s">
        <v>1</v>
      </c>
      <c r="C3" s="6">
        <v>2</v>
      </c>
      <c r="D3" s="2">
        <v>5</v>
      </c>
      <c r="E3" s="21">
        <v>15</v>
      </c>
      <c r="F3" s="24">
        <v>115</v>
      </c>
      <c r="G3" s="30">
        <v>5</v>
      </c>
      <c r="H3" s="22">
        <v>0.16111111111111112</v>
      </c>
      <c r="I3" s="6">
        <v>3</v>
      </c>
      <c r="J3" s="6" t="s">
        <v>22</v>
      </c>
      <c r="K3" s="6" t="s">
        <v>36</v>
      </c>
      <c r="L3" s="6" t="str">
        <f t="shared" si="0"/>
        <v>S01_I5_A15_S115_T3_Use</v>
      </c>
    </row>
    <row r="4" spans="1:12" x14ac:dyDescent="0.25">
      <c r="A4" s="6">
        <v>8</v>
      </c>
      <c r="B4" s="1" t="s">
        <v>1</v>
      </c>
      <c r="C4" s="7">
        <v>3</v>
      </c>
      <c r="D4" s="5">
        <v>5</v>
      </c>
      <c r="E4" s="13">
        <v>15</v>
      </c>
      <c r="F4" s="25">
        <v>100</v>
      </c>
      <c r="G4" s="31">
        <v>8</v>
      </c>
      <c r="H4" s="4">
        <v>0.16597222222222222</v>
      </c>
      <c r="I4" s="7">
        <v>3</v>
      </c>
      <c r="J4" s="7" t="s">
        <v>22</v>
      </c>
      <c r="K4" s="7" t="s">
        <v>37</v>
      </c>
      <c r="L4" s="7" t="str">
        <f t="shared" si="0"/>
        <v>S01_I5_A15_S100_T3_Use</v>
      </c>
    </row>
    <row r="5" spans="1:12" x14ac:dyDescent="0.25">
      <c r="A5" s="6">
        <v>11</v>
      </c>
      <c r="B5" s="1" t="s">
        <v>1</v>
      </c>
      <c r="C5" s="6">
        <v>4</v>
      </c>
      <c r="D5" s="2">
        <v>5</v>
      </c>
      <c r="E5" s="21" t="s">
        <v>23</v>
      </c>
      <c r="F5" s="24" t="s">
        <v>21</v>
      </c>
      <c r="G5" s="30">
        <v>11</v>
      </c>
      <c r="H5" s="22">
        <v>0.17569444444444443</v>
      </c>
      <c r="I5" s="6">
        <v>3</v>
      </c>
      <c r="J5" s="28" t="s">
        <v>22</v>
      </c>
      <c r="K5" s="6" t="s">
        <v>38</v>
      </c>
      <c r="L5" s="6" t="str">
        <f t="shared" si="0"/>
        <v>S01_I5_A00_S085_T3_Use</v>
      </c>
    </row>
    <row r="6" spans="1:12" x14ac:dyDescent="0.25">
      <c r="A6" s="6">
        <v>12</v>
      </c>
      <c r="B6" s="1" t="s">
        <v>1</v>
      </c>
      <c r="C6" s="6">
        <v>5</v>
      </c>
      <c r="D6" s="2">
        <v>5</v>
      </c>
      <c r="E6" s="21" t="s">
        <v>23</v>
      </c>
      <c r="F6" s="24">
        <v>115</v>
      </c>
      <c r="G6" s="30">
        <v>12</v>
      </c>
      <c r="H6" s="22">
        <v>0.17708333333333334</v>
      </c>
      <c r="I6" s="6">
        <v>1</v>
      </c>
      <c r="J6" s="6" t="s">
        <v>22</v>
      </c>
      <c r="K6" s="6" t="s">
        <v>39</v>
      </c>
      <c r="L6" s="6" t="str">
        <f t="shared" si="0"/>
        <v>S01_I5_A00_S115_T1_Use</v>
      </c>
    </row>
    <row r="7" spans="1:12" x14ac:dyDescent="0.25">
      <c r="A7" s="6">
        <v>15</v>
      </c>
      <c r="B7" s="1" t="s">
        <v>1</v>
      </c>
      <c r="C7" s="7">
        <v>6</v>
      </c>
      <c r="D7" s="5">
        <v>5</v>
      </c>
      <c r="E7" s="13" t="s">
        <v>23</v>
      </c>
      <c r="F7" s="25">
        <v>100</v>
      </c>
      <c r="G7" s="31">
        <v>15</v>
      </c>
      <c r="H7" s="4">
        <v>0.18124999999999999</v>
      </c>
      <c r="I7" s="7">
        <v>2</v>
      </c>
      <c r="J7" s="7" t="s">
        <v>22</v>
      </c>
      <c r="K7" s="7" t="s">
        <v>40</v>
      </c>
      <c r="L7" s="7" t="str">
        <f t="shared" si="0"/>
        <v>S01_I5_A00_S100_T2_Use</v>
      </c>
    </row>
    <row r="8" spans="1:12" x14ac:dyDescent="0.25">
      <c r="A8" s="6">
        <v>19</v>
      </c>
      <c r="B8" s="1" t="s">
        <v>1</v>
      </c>
      <c r="C8" s="6">
        <v>7</v>
      </c>
      <c r="D8" s="2">
        <v>0</v>
      </c>
      <c r="E8" s="21" t="s">
        <v>23</v>
      </c>
      <c r="F8" s="24" t="s">
        <v>21</v>
      </c>
      <c r="G8" s="30">
        <v>19</v>
      </c>
      <c r="H8" s="22">
        <v>0.2013888888888889</v>
      </c>
      <c r="I8" s="6">
        <v>4</v>
      </c>
      <c r="J8" s="6" t="s">
        <v>22</v>
      </c>
      <c r="K8" s="6" t="s">
        <v>41</v>
      </c>
      <c r="L8" s="6" t="str">
        <f t="shared" si="0"/>
        <v>S01_I0_A00_S085_T4_Use</v>
      </c>
    </row>
    <row r="9" spans="1:12" x14ac:dyDescent="0.25">
      <c r="A9" s="6">
        <v>20</v>
      </c>
      <c r="B9" s="1" t="s">
        <v>1</v>
      </c>
      <c r="C9" s="6">
        <v>8</v>
      </c>
      <c r="D9" s="2">
        <v>0</v>
      </c>
      <c r="E9" s="21" t="s">
        <v>23</v>
      </c>
      <c r="F9" s="24" t="s">
        <v>24</v>
      </c>
      <c r="G9" s="30">
        <v>20</v>
      </c>
      <c r="H9" s="22">
        <v>0.20277777777777778</v>
      </c>
      <c r="I9" s="6">
        <v>1</v>
      </c>
      <c r="J9" s="6" t="s">
        <v>22</v>
      </c>
      <c r="K9" s="6" t="s">
        <v>42</v>
      </c>
      <c r="L9" s="6" t="str">
        <f t="shared" si="0"/>
        <v>S01_I0_A00_S100_T1_Use</v>
      </c>
    </row>
    <row r="10" spans="1:12" x14ac:dyDescent="0.25">
      <c r="A10" s="6">
        <v>23</v>
      </c>
      <c r="B10" s="1" t="s">
        <v>1</v>
      </c>
      <c r="C10" s="7">
        <v>9</v>
      </c>
      <c r="D10" s="5">
        <v>0</v>
      </c>
      <c r="E10" s="13" t="s">
        <v>23</v>
      </c>
      <c r="F10" s="25" t="s">
        <v>25</v>
      </c>
      <c r="G10" s="31">
        <v>23</v>
      </c>
      <c r="H10" s="4">
        <v>0.20694444444444443</v>
      </c>
      <c r="I10" s="7">
        <v>2</v>
      </c>
      <c r="J10" s="7" t="s">
        <v>22</v>
      </c>
      <c r="K10" s="7" t="s">
        <v>43</v>
      </c>
      <c r="L10" s="7" t="str">
        <f t="shared" si="0"/>
        <v>S01_I0_A00_S115_T2_Use</v>
      </c>
    </row>
    <row r="11" spans="1:12" x14ac:dyDescent="0.25">
      <c r="A11" s="6">
        <v>24</v>
      </c>
      <c r="B11" s="1" t="s">
        <v>1</v>
      </c>
      <c r="C11" s="6">
        <v>10</v>
      </c>
      <c r="D11" s="2">
        <v>0</v>
      </c>
      <c r="E11" s="21" t="s">
        <v>26</v>
      </c>
      <c r="F11" s="24" t="s">
        <v>24</v>
      </c>
      <c r="G11" s="30">
        <v>24</v>
      </c>
      <c r="H11" s="22">
        <v>0.21041666666666667</v>
      </c>
      <c r="I11" s="6">
        <v>1</v>
      </c>
      <c r="J11" s="6" t="s">
        <v>22</v>
      </c>
      <c r="K11" s="6" t="s">
        <v>44</v>
      </c>
      <c r="L11" s="6" t="str">
        <f t="shared" si="0"/>
        <v>S01_I0_A15_S100_T1_Use</v>
      </c>
    </row>
    <row r="12" spans="1:12" x14ac:dyDescent="0.25">
      <c r="A12" s="6">
        <v>26</v>
      </c>
      <c r="B12" s="1" t="s">
        <v>1</v>
      </c>
      <c r="C12" s="6">
        <v>11</v>
      </c>
      <c r="D12" s="2">
        <v>0</v>
      </c>
      <c r="E12" s="21" t="s">
        <v>26</v>
      </c>
      <c r="F12" s="24" t="s">
        <v>21</v>
      </c>
      <c r="G12" s="30">
        <v>26</v>
      </c>
      <c r="H12" s="22">
        <v>0.21249999999999999</v>
      </c>
      <c r="I12" s="6">
        <v>1</v>
      </c>
      <c r="J12" s="6" t="s">
        <v>22</v>
      </c>
      <c r="K12" s="6" t="s">
        <v>45</v>
      </c>
      <c r="L12" s="6" t="str">
        <f t="shared" si="0"/>
        <v>S01_I0_A15_S085_T1_Use</v>
      </c>
    </row>
    <row r="13" spans="1:12" x14ac:dyDescent="0.25">
      <c r="A13" s="6">
        <v>28</v>
      </c>
      <c r="B13" s="1" t="s">
        <v>1</v>
      </c>
      <c r="C13" s="6">
        <v>12</v>
      </c>
      <c r="D13" s="2">
        <v>0</v>
      </c>
      <c r="E13" s="21" t="s">
        <v>26</v>
      </c>
      <c r="F13" s="24" t="s">
        <v>25</v>
      </c>
      <c r="G13" s="30">
        <v>28</v>
      </c>
      <c r="H13" s="22">
        <v>0.21666666666666667</v>
      </c>
      <c r="I13" s="6">
        <v>1</v>
      </c>
      <c r="J13" s="6" t="s">
        <v>22</v>
      </c>
      <c r="K13" s="6" t="s">
        <v>46</v>
      </c>
      <c r="L13" s="6" t="str">
        <f t="shared" si="0"/>
        <v>S01_I0_A15_S115_T1_Use</v>
      </c>
    </row>
    <row r="14" spans="1:12" x14ac:dyDescent="0.25">
      <c r="A14" s="6">
        <v>31</v>
      </c>
      <c r="B14" s="6" t="s">
        <v>2</v>
      </c>
      <c r="C14" s="6">
        <v>1</v>
      </c>
      <c r="D14" s="2">
        <v>5</v>
      </c>
      <c r="E14" s="21" t="s">
        <v>26</v>
      </c>
      <c r="F14" s="24" t="s">
        <v>24</v>
      </c>
      <c r="G14" s="30">
        <v>2</v>
      </c>
      <c r="H14" s="22">
        <v>0.13333333333333333</v>
      </c>
      <c r="I14" s="6">
        <v>2</v>
      </c>
      <c r="J14" s="6" t="s">
        <v>22</v>
      </c>
      <c r="K14" s="6" t="s">
        <v>47</v>
      </c>
      <c r="L14" s="6" t="str">
        <f t="shared" si="0"/>
        <v>S02_I5_A15_S100_T2_Use</v>
      </c>
    </row>
    <row r="15" spans="1:12" x14ac:dyDescent="0.25">
      <c r="A15" s="6">
        <v>33</v>
      </c>
      <c r="B15" s="6" t="s">
        <v>2</v>
      </c>
      <c r="C15" s="6">
        <v>2</v>
      </c>
      <c r="D15" s="2">
        <v>5</v>
      </c>
      <c r="E15" s="21" t="s">
        <v>26</v>
      </c>
      <c r="F15" s="24" t="s">
        <v>21</v>
      </c>
      <c r="G15" s="30">
        <v>4</v>
      </c>
      <c r="H15" s="22">
        <v>0.14166666666666666</v>
      </c>
      <c r="I15" s="6">
        <v>1</v>
      </c>
      <c r="J15" s="6" t="s">
        <v>22</v>
      </c>
      <c r="K15" s="6" t="s">
        <v>48</v>
      </c>
      <c r="L15" s="6" t="str">
        <f t="shared" si="0"/>
        <v>S02_I5_A15_S085_T1_Use</v>
      </c>
    </row>
    <row r="16" spans="1:12" x14ac:dyDescent="0.25">
      <c r="A16" s="6">
        <v>36</v>
      </c>
      <c r="B16" s="6" t="s">
        <v>2</v>
      </c>
      <c r="C16" s="6">
        <v>3</v>
      </c>
      <c r="D16" s="2">
        <v>5</v>
      </c>
      <c r="E16" s="21" t="s">
        <v>26</v>
      </c>
      <c r="F16" s="24" t="s">
        <v>25</v>
      </c>
      <c r="G16" s="30">
        <v>7</v>
      </c>
      <c r="H16" s="22">
        <v>0.14861111111111111</v>
      </c>
      <c r="I16" s="6">
        <v>1</v>
      </c>
      <c r="J16" s="6" t="s">
        <v>22</v>
      </c>
      <c r="K16" s="6" t="s">
        <v>49</v>
      </c>
      <c r="L16" s="6" t="str">
        <f t="shared" si="0"/>
        <v>S02_I5_A15_S115_T1_Use</v>
      </c>
    </row>
    <row r="17" spans="1:12" x14ac:dyDescent="0.25">
      <c r="A17" s="6">
        <v>38</v>
      </c>
      <c r="B17" s="6" t="s">
        <v>2</v>
      </c>
      <c r="C17" s="6">
        <v>4</v>
      </c>
      <c r="D17" s="2">
        <v>5</v>
      </c>
      <c r="E17" s="21" t="s">
        <v>23</v>
      </c>
      <c r="F17" s="24" t="s">
        <v>24</v>
      </c>
      <c r="G17" s="30">
        <v>9</v>
      </c>
      <c r="H17" s="22">
        <v>0.15347222222222223</v>
      </c>
      <c r="I17" s="6">
        <v>1</v>
      </c>
      <c r="J17" s="6" t="s">
        <v>22</v>
      </c>
      <c r="K17" s="6" t="s">
        <v>50</v>
      </c>
      <c r="L17" s="6" t="str">
        <f t="shared" si="0"/>
        <v>S02_I5_A00_S100_T1_Use</v>
      </c>
    </row>
    <row r="18" spans="1:12" x14ac:dyDescent="0.25">
      <c r="A18" s="6">
        <v>40</v>
      </c>
      <c r="B18" s="6" t="s">
        <v>2</v>
      </c>
      <c r="C18" s="6">
        <v>5</v>
      </c>
      <c r="D18" s="2">
        <v>5</v>
      </c>
      <c r="E18" s="21" t="s">
        <v>23</v>
      </c>
      <c r="F18" s="24" t="s">
        <v>25</v>
      </c>
      <c r="G18" s="30">
        <v>11</v>
      </c>
      <c r="H18" s="22">
        <v>0.15625</v>
      </c>
      <c r="I18" s="6">
        <v>1</v>
      </c>
      <c r="J18" s="6" t="s">
        <v>22</v>
      </c>
      <c r="K18" s="6" t="s">
        <v>51</v>
      </c>
      <c r="L18" s="6" t="str">
        <f t="shared" si="0"/>
        <v>S02_I5_A00_S115_T1_Use</v>
      </c>
    </row>
    <row r="19" spans="1:12" s="3" customFormat="1" x14ac:dyDescent="0.25">
      <c r="A19" s="6">
        <v>44</v>
      </c>
      <c r="B19" s="7" t="s">
        <v>2</v>
      </c>
      <c r="C19" s="7">
        <v>6</v>
      </c>
      <c r="D19" s="5">
        <v>5</v>
      </c>
      <c r="E19" s="13" t="s">
        <v>23</v>
      </c>
      <c r="F19" s="25" t="s">
        <v>21</v>
      </c>
      <c r="G19" s="31">
        <v>15</v>
      </c>
      <c r="H19" s="4">
        <v>0.16250000000000001</v>
      </c>
      <c r="I19" s="7">
        <v>3</v>
      </c>
      <c r="J19" s="7" t="s">
        <v>22</v>
      </c>
      <c r="K19" s="7" t="s">
        <v>52</v>
      </c>
      <c r="L19" s="7" t="str">
        <f t="shared" si="0"/>
        <v>S02_I5_A00_S085_T3_Use</v>
      </c>
    </row>
    <row r="20" spans="1:12" x14ac:dyDescent="0.25">
      <c r="A20" s="6">
        <v>45</v>
      </c>
      <c r="B20" s="6" t="s">
        <v>2</v>
      </c>
      <c r="C20" s="6">
        <v>7</v>
      </c>
      <c r="D20" s="2">
        <v>0</v>
      </c>
      <c r="E20" s="21" t="s">
        <v>26</v>
      </c>
      <c r="F20" s="24" t="s">
        <v>24</v>
      </c>
      <c r="G20" s="30">
        <v>16</v>
      </c>
      <c r="H20" s="22">
        <v>0.1763888888888889</v>
      </c>
      <c r="I20" s="6">
        <v>1</v>
      </c>
      <c r="J20" s="6" t="s">
        <v>22</v>
      </c>
      <c r="K20" s="6" t="s">
        <v>53</v>
      </c>
      <c r="L20" s="6" t="str">
        <f t="shared" si="0"/>
        <v>S02_I0_A15_S100_T1_Use</v>
      </c>
    </row>
    <row r="21" spans="1:12" x14ac:dyDescent="0.25">
      <c r="A21" s="6">
        <v>47</v>
      </c>
      <c r="B21" s="6" t="s">
        <v>2</v>
      </c>
      <c r="C21" s="6">
        <v>8</v>
      </c>
      <c r="D21" s="2">
        <v>0</v>
      </c>
      <c r="E21" s="21" t="s">
        <v>26</v>
      </c>
      <c r="F21" s="24" t="s">
        <v>25</v>
      </c>
      <c r="G21" s="30">
        <v>18</v>
      </c>
      <c r="H21" s="22">
        <v>0.17916666666666667</v>
      </c>
      <c r="I21" s="6">
        <v>1</v>
      </c>
      <c r="J21" s="6" t="s">
        <v>22</v>
      </c>
      <c r="K21" s="6" t="s">
        <v>54</v>
      </c>
      <c r="L21" s="6" t="str">
        <f t="shared" si="0"/>
        <v>S02_I0_A15_S115_T1_Use</v>
      </c>
    </row>
    <row r="22" spans="1:12" x14ac:dyDescent="0.25">
      <c r="A22" s="6">
        <v>50</v>
      </c>
      <c r="B22" s="6" t="s">
        <v>2</v>
      </c>
      <c r="C22" s="6">
        <v>9</v>
      </c>
      <c r="D22" s="2">
        <v>0</v>
      </c>
      <c r="E22" s="21" t="s">
        <v>26</v>
      </c>
      <c r="F22" s="24" t="s">
        <v>21</v>
      </c>
      <c r="G22" s="30">
        <v>21</v>
      </c>
      <c r="H22" s="22">
        <v>0.19027777777777777</v>
      </c>
      <c r="I22" s="6">
        <v>2</v>
      </c>
      <c r="J22" s="6" t="s">
        <v>22</v>
      </c>
      <c r="K22" s="6" t="s">
        <v>55</v>
      </c>
      <c r="L22" s="6" t="str">
        <f t="shared" si="0"/>
        <v>S02_I0_A15_S085_T2_Use</v>
      </c>
    </row>
    <row r="23" spans="1:12" x14ac:dyDescent="0.25">
      <c r="A23" s="6">
        <v>54</v>
      </c>
      <c r="B23" s="6" t="s">
        <v>2</v>
      </c>
      <c r="C23" s="6">
        <v>10</v>
      </c>
      <c r="D23" s="2">
        <v>0</v>
      </c>
      <c r="E23" s="21" t="s">
        <v>23</v>
      </c>
      <c r="F23" s="24" t="s">
        <v>25</v>
      </c>
      <c r="G23" s="30">
        <v>25</v>
      </c>
      <c r="H23" s="22">
        <v>0.20347222222222222</v>
      </c>
      <c r="I23" s="6">
        <v>3</v>
      </c>
      <c r="J23" s="6" t="s">
        <v>22</v>
      </c>
      <c r="K23" s="6" t="s">
        <v>56</v>
      </c>
      <c r="L23" s="6" t="str">
        <f t="shared" si="0"/>
        <v>S02_I0_A00_S115_T3_Use</v>
      </c>
    </row>
    <row r="24" spans="1:12" x14ac:dyDescent="0.25">
      <c r="A24" s="6">
        <v>56</v>
      </c>
      <c r="B24" s="6" t="s">
        <v>2</v>
      </c>
      <c r="C24" s="6">
        <v>11</v>
      </c>
      <c r="D24" s="2">
        <v>0</v>
      </c>
      <c r="E24" s="21" t="s">
        <v>23</v>
      </c>
      <c r="F24" s="24" t="s">
        <v>24</v>
      </c>
      <c r="G24" s="30">
        <v>27</v>
      </c>
      <c r="H24" s="22">
        <v>0.20624999999999999</v>
      </c>
      <c r="I24" s="6">
        <v>1</v>
      </c>
      <c r="J24" s="6" t="s">
        <v>22</v>
      </c>
      <c r="K24" s="6" t="s">
        <v>57</v>
      </c>
      <c r="L24" s="6" t="str">
        <f t="shared" si="0"/>
        <v>S02_I0_A00_S100_T1_Use</v>
      </c>
    </row>
    <row r="25" spans="1:12" x14ac:dyDescent="0.25">
      <c r="A25" s="6">
        <v>58</v>
      </c>
      <c r="B25" s="6" t="s">
        <v>2</v>
      </c>
      <c r="C25" s="6">
        <v>12</v>
      </c>
      <c r="D25" s="2">
        <v>0</v>
      </c>
      <c r="E25" s="21" t="s">
        <v>23</v>
      </c>
      <c r="F25" s="24" t="s">
        <v>21</v>
      </c>
      <c r="G25" s="30">
        <v>29</v>
      </c>
      <c r="H25" s="22">
        <v>0.20902777777777778</v>
      </c>
      <c r="I25" s="6">
        <v>1</v>
      </c>
      <c r="J25" s="6" t="s">
        <v>22</v>
      </c>
      <c r="K25" s="6" t="s">
        <v>58</v>
      </c>
      <c r="L25" s="6" t="str">
        <f t="shared" si="0"/>
        <v>S02_I0_A00_S085_T1_Use</v>
      </c>
    </row>
    <row r="26" spans="1:12" x14ac:dyDescent="0.25">
      <c r="A26" s="6">
        <v>63</v>
      </c>
      <c r="B26" s="6" t="s">
        <v>3</v>
      </c>
      <c r="C26" s="6">
        <v>1</v>
      </c>
      <c r="D26" s="2">
        <v>0</v>
      </c>
      <c r="E26" s="21" t="s">
        <v>26</v>
      </c>
      <c r="F26" s="24" t="s">
        <v>25</v>
      </c>
      <c r="G26" s="30">
        <v>2</v>
      </c>
      <c r="H26" s="22">
        <v>0.12986111111111112</v>
      </c>
      <c r="I26" s="6">
        <v>2</v>
      </c>
      <c r="J26" s="6" t="s">
        <v>22</v>
      </c>
      <c r="K26" s="6" t="s">
        <v>59</v>
      </c>
      <c r="L26" s="6" t="str">
        <f t="shared" si="0"/>
        <v>S03_I0_A15_S115_T2_Use</v>
      </c>
    </row>
    <row r="27" spans="1:12" x14ac:dyDescent="0.25">
      <c r="A27" s="6">
        <v>66</v>
      </c>
      <c r="B27" s="6" t="s">
        <v>3</v>
      </c>
      <c r="C27" s="6">
        <v>2</v>
      </c>
      <c r="D27" s="2">
        <v>0</v>
      </c>
      <c r="E27" s="21" t="s">
        <v>26</v>
      </c>
      <c r="F27" s="24" t="s">
        <v>24</v>
      </c>
      <c r="G27" s="30">
        <v>5</v>
      </c>
      <c r="H27" s="22">
        <v>0.15</v>
      </c>
      <c r="I27" s="6">
        <v>1</v>
      </c>
      <c r="J27" s="28" t="s">
        <v>22</v>
      </c>
      <c r="K27" s="6" t="s">
        <v>60</v>
      </c>
      <c r="L27" s="6" t="str">
        <f t="shared" ref="L27:L50" si="1">B27&amp;"_I"&amp;D27&amp;"_A"&amp;E27&amp;"_S"&amp;F27&amp;"_T"&amp;I27&amp;IF(J27="Use","_"&amp;J27,)</f>
        <v>S03_I0_A15_S100_T1_Use</v>
      </c>
    </row>
    <row r="28" spans="1:12" s="3" customFormat="1" x14ac:dyDescent="0.25">
      <c r="A28" s="6">
        <v>70</v>
      </c>
      <c r="B28" s="7" t="s">
        <v>3</v>
      </c>
      <c r="C28" s="7">
        <v>3</v>
      </c>
      <c r="D28" s="5">
        <v>0</v>
      </c>
      <c r="E28" s="13" t="s">
        <v>26</v>
      </c>
      <c r="F28" s="25" t="s">
        <v>21</v>
      </c>
      <c r="G28" s="31">
        <v>9</v>
      </c>
      <c r="H28" s="4">
        <v>0.16388888888888889</v>
      </c>
      <c r="I28" s="7">
        <v>2</v>
      </c>
      <c r="J28" s="33" t="s">
        <v>22</v>
      </c>
      <c r="K28" s="7" t="s">
        <v>61</v>
      </c>
      <c r="L28" s="7" t="str">
        <f t="shared" si="1"/>
        <v>S03_I0_A15_S085_T2_Use</v>
      </c>
    </row>
    <row r="29" spans="1:12" x14ac:dyDescent="0.25">
      <c r="A29" s="6">
        <v>71</v>
      </c>
      <c r="B29" s="6" t="s">
        <v>3</v>
      </c>
      <c r="C29" s="6">
        <v>4</v>
      </c>
      <c r="D29" s="2">
        <v>0</v>
      </c>
      <c r="E29" s="21" t="s">
        <v>23</v>
      </c>
      <c r="F29" s="24" t="s">
        <v>21</v>
      </c>
      <c r="G29" s="30">
        <v>10</v>
      </c>
      <c r="H29" s="22">
        <v>0.16944444444444445</v>
      </c>
      <c r="I29" s="6">
        <v>1</v>
      </c>
      <c r="J29" s="6" t="s">
        <v>22</v>
      </c>
      <c r="K29" s="6" t="s">
        <v>62</v>
      </c>
      <c r="L29" s="6" t="str">
        <f t="shared" si="1"/>
        <v>S03_I0_A00_S085_T1_Use</v>
      </c>
    </row>
    <row r="30" spans="1:12" x14ac:dyDescent="0.25">
      <c r="A30" s="6">
        <v>74</v>
      </c>
      <c r="B30" s="6" t="s">
        <v>3</v>
      </c>
      <c r="C30" s="6">
        <v>5</v>
      </c>
      <c r="D30" s="2">
        <v>0</v>
      </c>
      <c r="E30" s="21" t="s">
        <v>23</v>
      </c>
      <c r="F30" s="24" t="s">
        <v>25</v>
      </c>
      <c r="G30" s="30">
        <v>13</v>
      </c>
      <c r="H30" s="22">
        <v>0.17291666666666666</v>
      </c>
      <c r="I30" s="6">
        <v>2</v>
      </c>
      <c r="J30" s="6" t="s">
        <v>22</v>
      </c>
      <c r="K30" s="6" t="s">
        <v>63</v>
      </c>
      <c r="L30" s="6" t="str">
        <f t="shared" si="1"/>
        <v>S03_I0_A00_S115_T2_Use</v>
      </c>
    </row>
    <row r="31" spans="1:12" x14ac:dyDescent="0.25">
      <c r="A31" s="6">
        <v>76</v>
      </c>
      <c r="B31" s="6" t="s">
        <v>3</v>
      </c>
      <c r="C31" s="6">
        <v>6</v>
      </c>
      <c r="D31" s="2">
        <v>0</v>
      </c>
      <c r="E31" s="21" t="s">
        <v>23</v>
      </c>
      <c r="F31" s="24" t="s">
        <v>24</v>
      </c>
      <c r="G31" s="30">
        <v>15</v>
      </c>
      <c r="H31" s="22">
        <v>0.17916666666666667</v>
      </c>
      <c r="I31" s="6">
        <v>1</v>
      </c>
      <c r="J31" s="6" t="s">
        <v>22</v>
      </c>
      <c r="K31" s="6" t="s">
        <v>64</v>
      </c>
      <c r="L31" s="6" t="str">
        <f t="shared" si="1"/>
        <v>S03_I0_A00_S100_T1_Use</v>
      </c>
    </row>
    <row r="32" spans="1:12" x14ac:dyDescent="0.25">
      <c r="A32" s="6">
        <v>79</v>
      </c>
      <c r="B32" s="6" t="s">
        <v>3</v>
      </c>
      <c r="C32" s="6">
        <v>7</v>
      </c>
      <c r="D32" s="2">
        <v>5</v>
      </c>
      <c r="E32" s="21" t="s">
        <v>26</v>
      </c>
      <c r="F32" s="24" t="s">
        <v>21</v>
      </c>
      <c r="G32" s="30">
        <v>18</v>
      </c>
      <c r="H32" s="22">
        <v>0.19097222222222221</v>
      </c>
      <c r="I32" s="6">
        <v>2</v>
      </c>
      <c r="J32" s="6" t="s">
        <v>22</v>
      </c>
      <c r="K32" s="6" t="s">
        <v>65</v>
      </c>
      <c r="L32" s="6" t="str">
        <f t="shared" si="1"/>
        <v>S03_I5_A15_S085_T2_Use</v>
      </c>
    </row>
    <row r="33" spans="1:12" x14ac:dyDescent="0.25">
      <c r="A33" s="6">
        <v>80</v>
      </c>
      <c r="B33" s="6" t="s">
        <v>3</v>
      </c>
      <c r="C33" s="6">
        <v>8</v>
      </c>
      <c r="D33" s="2">
        <v>5</v>
      </c>
      <c r="E33" s="21" t="s">
        <v>26</v>
      </c>
      <c r="F33" s="24" t="s">
        <v>24</v>
      </c>
      <c r="G33" s="30">
        <v>19</v>
      </c>
      <c r="H33" s="22">
        <v>0.19305555555555556</v>
      </c>
      <c r="I33" s="6">
        <v>1</v>
      </c>
      <c r="J33" s="6" t="s">
        <v>22</v>
      </c>
      <c r="K33" s="6" t="s">
        <v>66</v>
      </c>
      <c r="L33" s="6" t="str">
        <f t="shared" si="1"/>
        <v>S03_I5_A15_S100_T1_Use</v>
      </c>
    </row>
    <row r="34" spans="1:12" x14ac:dyDescent="0.25">
      <c r="A34" s="6">
        <v>84</v>
      </c>
      <c r="B34" s="6" t="s">
        <v>3</v>
      </c>
      <c r="C34" s="6">
        <v>9</v>
      </c>
      <c r="D34" s="2">
        <v>5</v>
      </c>
      <c r="E34" s="21" t="s">
        <v>26</v>
      </c>
      <c r="F34" s="24" t="s">
        <v>25</v>
      </c>
      <c r="G34" s="30">
        <v>23</v>
      </c>
      <c r="H34" s="22">
        <v>0.2</v>
      </c>
      <c r="I34" s="6">
        <v>2</v>
      </c>
      <c r="J34" s="6" t="s">
        <v>22</v>
      </c>
      <c r="K34" s="6" t="s">
        <v>67</v>
      </c>
      <c r="L34" s="6" t="str">
        <f t="shared" si="1"/>
        <v>S03_I5_A15_S115_T2_Use</v>
      </c>
    </row>
    <row r="35" spans="1:12" x14ac:dyDescent="0.25">
      <c r="A35" s="6">
        <v>86</v>
      </c>
      <c r="B35" s="6" t="s">
        <v>3</v>
      </c>
      <c r="C35" s="6">
        <v>10</v>
      </c>
      <c r="D35" s="2">
        <v>5</v>
      </c>
      <c r="E35" s="21" t="s">
        <v>23</v>
      </c>
      <c r="F35" s="24" t="s">
        <v>21</v>
      </c>
      <c r="G35" s="30">
        <v>25</v>
      </c>
      <c r="H35" s="22">
        <v>0.21041666666666667</v>
      </c>
      <c r="I35" s="6">
        <v>1</v>
      </c>
      <c r="J35" s="6" t="s">
        <v>22</v>
      </c>
      <c r="K35" s="6" t="s">
        <v>68</v>
      </c>
      <c r="L35" s="6" t="str">
        <f t="shared" si="1"/>
        <v>S03_I5_A00_S085_T1_Use</v>
      </c>
    </row>
    <row r="36" spans="1:12" x14ac:dyDescent="0.25">
      <c r="A36" s="6">
        <v>91</v>
      </c>
      <c r="B36" s="6" t="s">
        <v>3</v>
      </c>
      <c r="C36" s="6">
        <v>11</v>
      </c>
      <c r="D36" s="2">
        <v>5</v>
      </c>
      <c r="E36" s="21" t="s">
        <v>23</v>
      </c>
      <c r="F36" s="24" t="s">
        <v>25</v>
      </c>
      <c r="G36" s="30">
        <v>30</v>
      </c>
      <c r="H36" s="22">
        <v>0.21736111111111112</v>
      </c>
      <c r="I36" s="6">
        <v>2</v>
      </c>
      <c r="J36" s="6" t="s">
        <v>22</v>
      </c>
      <c r="K36" s="6" t="s">
        <v>69</v>
      </c>
      <c r="L36" s="6" t="str">
        <f t="shared" si="1"/>
        <v>S03_I5_A00_S115_T2_Use</v>
      </c>
    </row>
    <row r="37" spans="1:12" s="10" customFormat="1" ht="15.75" thickBot="1" x14ac:dyDescent="0.3">
      <c r="A37" s="6">
        <v>93</v>
      </c>
      <c r="B37" s="9" t="s">
        <v>3</v>
      </c>
      <c r="C37" s="9">
        <v>12</v>
      </c>
      <c r="D37" s="8">
        <v>5</v>
      </c>
      <c r="E37" s="12" t="s">
        <v>23</v>
      </c>
      <c r="F37" s="26" t="s">
        <v>24</v>
      </c>
      <c r="G37" s="32">
        <v>32</v>
      </c>
      <c r="H37" s="11">
        <v>0.22291666666666668</v>
      </c>
      <c r="I37" s="9">
        <v>4</v>
      </c>
      <c r="J37" s="9" t="s">
        <v>22</v>
      </c>
      <c r="K37" s="9" t="s">
        <v>70</v>
      </c>
      <c r="L37" s="9" t="str">
        <f t="shared" si="1"/>
        <v>S03_I5_A00_S100_T4_Use</v>
      </c>
    </row>
    <row r="38" spans="1:12" x14ac:dyDescent="0.25">
      <c r="A38" s="6">
        <v>96</v>
      </c>
      <c r="B38" s="6" t="s">
        <v>4</v>
      </c>
      <c r="C38" s="6">
        <v>1</v>
      </c>
      <c r="D38" s="2">
        <v>5</v>
      </c>
      <c r="E38" s="21" t="s">
        <v>23</v>
      </c>
      <c r="F38" s="24" t="s">
        <v>24</v>
      </c>
      <c r="G38" s="30">
        <v>3</v>
      </c>
      <c r="H38" s="22">
        <v>0.11458333333333333</v>
      </c>
      <c r="I38" s="6">
        <v>3</v>
      </c>
      <c r="J38" s="6" t="s">
        <v>22</v>
      </c>
      <c r="K38" s="6" t="s">
        <v>71</v>
      </c>
      <c r="L38" s="6" t="str">
        <f t="shared" si="1"/>
        <v>S04_I5_A00_S100_T3_Use</v>
      </c>
    </row>
    <row r="39" spans="1:12" x14ac:dyDescent="0.25">
      <c r="A39" s="6">
        <v>97</v>
      </c>
      <c r="B39" s="6" t="s">
        <v>4</v>
      </c>
      <c r="C39" s="6">
        <v>2</v>
      </c>
      <c r="D39" s="2">
        <v>5</v>
      </c>
      <c r="E39" s="21" t="s">
        <v>23</v>
      </c>
      <c r="F39" s="24" t="s">
        <v>21</v>
      </c>
      <c r="G39" s="30">
        <v>4</v>
      </c>
      <c r="H39" s="22">
        <v>0.11736111111111111</v>
      </c>
      <c r="I39" s="6">
        <v>1</v>
      </c>
      <c r="J39" s="6" t="s">
        <v>22</v>
      </c>
      <c r="K39" s="6" t="s">
        <v>72</v>
      </c>
      <c r="L39" s="6" t="str">
        <f t="shared" si="1"/>
        <v>S04_I5_A00_S085_T1_Use</v>
      </c>
    </row>
    <row r="40" spans="1:12" x14ac:dyDescent="0.25">
      <c r="A40" s="6">
        <v>101</v>
      </c>
      <c r="B40" s="6" t="s">
        <v>4</v>
      </c>
      <c r="C40" s="6">
        <v>3</v>
      </c>
      <c r="D40" s="2">
        <v>5</v>
      </c>
      <c r="E40" s="21" t="s">
        <v>23</v>
      </c>
      <c r="F40" s="24" t="s">
        <v>25</v>
      </c>
      <c r="G40" s="30">
        <v>8</v>
      </c>
      <c r="H40" s="22">
        <v>0.12777777777777777</v>
      </c>
      <c r="I40" s="6">
        <v>3</v>
      </c>
      <c r="J40" s="29" t="s">
        <v>22</v>
      </c>
      <c r="K40" s="6" t="s">
        <v>73</v>
      </c>
      <c r="L40" s="6" t="str">
        <f t="shared" si="1"/>
        <v>S04_I5_A00_S115_T3_Use</v>
      </c>
    </row>
    <row r="41" spans="1:12" x14ac:dyDescent="0.25">
      <c r="A41" s="6">
        <v>104</v>
      </c>
      <c r="B41" s="6" t="s">
        <v>4</v>
      </c>
      <c r="C41" s="6">
        <v>4</v>
      </c>
      <c r="D41" s="2">
        <v>5</v>
      </c>
      <c r="E41" s="21" t="s">
        <v>26</v>
      </c>
      <c r="F41" s="24" t="s">
        <v>25</v>
      </c>
      <c r="G41" s="30">
        <v>11</v>
      </c>
      <c r="H41" s="22">
        <v>0.1423611111111111</v>
      </c>
      <c r="I41" s="6">
        <v>2</v>
      </c>
      <c r="J41" s="6" t="s">
        <v>22</v>
      </c>
      <c r="K41" s="6" t="s">
        <v>74</v>
      </c>
      <c r="L41" s="6" t="str">
        <f t="shared" si="1"/>
        <v>S04_I5_A15_S115_T2_Use</v>
      </c>
    </row>
    <row r="42" spans="1:12" x14ac:dyDescent="0.25">
      <c r="A42" s="6">
        <v>107</v>
      </c>
      <c r="B42" s="6" t="s">
        <v>4</v>
      </c>
      <c r="C42" s="6">
        <v>5</v>
      </c>
      <c r="D42" s="2">
        <v>5</v>
      </c>
      <c r="E42" s="21" t="s">
        <v>26</v>
      </c>
      <c r="F42" s="24" t="s">
        <v>24</v>
      </c>
      <c r="G42" s="30">
        <v>14</v>
      </c>
      <c r="H42" s="22">
        <v>0.15625</v>
      </c>
      <c r="I42" s="6">
        <v>2</v>
      </c>
      <c r="J42" s="6" t="s">
        <v>22</v>
      </c>
      <c r="K42" s="6" t="s">
        <v>75</v>
      </c>
      <c r="L42" s="6" t="str">
        <f t="shared" si="1"/>
        <v>S04_I5_A15_S100_T2_Use</v>
      </c>
    </row>
    <row r="43" spans="1:12" s="3" customFormat="1" x14ac:dyDescent="0.25">
      <c r="A43" s="6">
        <v>110</v>
      </c>
      <c r="B43" s="7" t="s">
        <v>4</v>
      </c>
      <c r="C43" s="7">
        <v>6</v>
      </c>
      <c r="D43" s="5">
        <v>5</v>
      </c>
      <c r="E43" s="13" t="s">
        <v>26</v>
      </c>
      <c r="F43" s="25" t="s">
        <v>21</v>
      </c>
      <c r="G43" s="31">
        <v>17</v>
      </c>
      <c r="H43" s="4">
        <v>0.16597222222222222</v>
      </c>
      <c r="I43" s="7">
        <v>3</v>
      </c>
      <c r="J43" s="7" t="s">
        <v>22</v>
      </c>
      <c r="K43" s="7" t="s">
        <v>76</v>
      </c>
      <c r="L43" s="6" t="str">
        <f t="shared" si="1"/>
        <v>S04_I5_A15_S085_T3_Use</v>
      </c>
    </row>
    <row r="44" spans="1:12" x14ac:dyDescent="0.25">
      <c r="A44" s="6">
        <v>111</v>
      </c>
      <c r="B44" s="6" t="s">
        <v>4</v>
      </c>
      <c r="C44" s="6">
        <v>7</v>
      </c>
      <c r="D44" s="2">
        <v>0</v>
      </c>
      <c r="E44" s="21" t="s">
        <v>26</v>
      </c>
      <c r="F44" s="24" t="s">
        <v>21</v>
      </c>
      <c r="G44" s="30">
        <v>18</v>
      </c>
      <c r="H44" s="22">
        <v>0.17569444444444443</v>
      </c>
      <c r="I44" s="6">
        <v>1</v>
      </c>
      <c r="J44" s="6" t="s">
        <v>22</v>
      </c>
      <c r="K44" s="6" t="s">
        <v>77</v>
      </c>
      <c r="L44" s="6" t="str">
        <f t="shared" si="1"/>
        <v>S04_I0_A15_S085_T1_Use</v>
      </c>
    </row>
    <row r="45" spans="1:12" x14ac:dyDescent="0.25">
      <c r="A45" s="6">
        <v>114</v>
      </c>
      <c r="B45" s="6" t="s">
        <v>4</v>
      </c>
      <c r="C45" s="6">
        <v>8</v>
      </c>
      <c r="D45" s="2">
        <v>0</v>
      </c>
      <c r="E45" s="21" t="s">
        <v>26</v>
      </c>
      <c r="F45" s="24" t="s">
        <v>24</v>
      </c>
      <c r="G45" s="30">
        <v>21</v>
      </c>
      <c r="H45" s="22">
        <v>0.18194444444444444</v>
      </c>
      <c r="I45" s="6">
        <v>1</v>
      </c>
      <c r="J45" s="6" t="s">
        <v>22</v>
      </c>
      <c r="K45" s="6" t="s">
        <v>78</v>
      </c>
      <c r="L45" s="6" t="str">
        <f t="shared" si="1"/>
        <v>S04_I0_A15_S100_T1_Use</v>
      </c>
    </row>
    <row r="46" spans="1:12" x14ac:dyDescent="0.25">
      <c r="A46" s="6">
        <v>116</v>
      </c>
      <c r="B46" s="6" t="s">
        <v>4</v>
      </c>
      <c r="C46" s="6">
        <v>9</v>
      </c>
      <c r="D46" s="2">
        <v>0</v>
      </c>
      <c r="E46" s="21" t="s">
        <v>26</v>
      </c>
      <c r="F46" s="24" t="s">
        <v>25</v>
      </c>
      <c r="G46" s="30">
        <v>23</v>
      </c>
      <c r="H46" s="22">
        <v>0.19166666666666668</v>
      </c>
      <c r="I46" s="6">
        <v>1</v>
      </c>
      <c r="J46" s="6" t="s">
        <v>22</v>
      </c>
      <c r="K46" s="6" t="s">
        <v>79</v>
      </c>
      <c r="L46" s="6" t="str">
        <f t="shared" si="1"/>
        <v>S04_I0_A15_S115_T1_Use</v>
      </c>
    </row>
    <row r="47" spans="1:12" x14ac:dyDescent="0.25">
      <c r="A47" s="6">
        <v>118</v>
      </c>
      <c r="B47" s="6" t="s">
        <v>4</v>
      </c>
      <c r="C47" s="6">
        <v>10</v>
      </c>
      <c r="D47" s="2">
        <v>0</v>
      </c>
      <c r="E47" s="21" t="s">
        <v>23</v>
      </c>
      <c r="F47" s="24" t="s">
        <v>24</v>
      </c>
      <c r="G47" s="30">
        <v>25</v>
      </c>
      <c r="H47" s="22">
        <v>0.19652777777777777</v>
      </c>
      <c r="I47" s="6">
        <v>1</v>
      </c>
      <c r="J47" s="6" t="s">
        <v>22</v>
      </c>
      <c r="K47" s="6" t="s">
        <v>80</v>
      </c>
      <c r="L47" s="6" t="str">
        <f t="shared" si="1"/>
        <v>S04_I0_A00_S100_T1_Use</v>
      </c>
    </row>
    <row r="48" spans="1:12" x14ac:dyDescent="0.25">
      <c r="A48" s="6">
        <v>123</v>
      </c>
      <c r="B48" s="6" t="s">
        <v>4</v>
      </c>
      <c r="C48" s="6">
        <v>11</v>
      </c>
      <c r="D48" s="2">
        <v>0</v>
      </c>
      <c r="E48" s="21" t="s">
        <v>23</v>
      </c>
      <c r="F48" s="24" t="s">
        <v>21</v>
      </c>
      <c r="G48" s="30">
        <v>30</v>
      </c>
      <c r="H48" s="22">
        <v>0.20416666666666666</v>
      </c>
      <c r="I48" s="6">
        <v>3</v>
      </c>
      <c r="J48" s="6" t="s">
        <v>22</v>
      </c>
      <c r="K48" s="6" t="s">
        <v>81</v>
      </c>
      <c r="L48" s="6" t="str">
        <f t="shared" si="1"/>
        <v>S04_I0_A00_S085_T3_Use</v>
      </c>
    </row>
    <row r="49" spans="1:13" x14ac:dyDescent="0.25">
      <c r="A49" s="6">
        <v>124</v>
      </c>
      <c r="B49" s="6" t="s">
        <v>4</v>
      </c>
      <c r="C49" s="6">
        <v>12</v>
      </c>
      <c r="D49" s="2">
        <v>0</v>
      </c>
      <c r="E49" s="21" t="s">
        <v>23</v>
      </c>
      <c r="F49" s="24" t="s">
        <v>25</v>
      </c>
      <c r="G49" s="30">
        <v>31</v>
      </c>
      <c r="H49" s="22">
        <v>0.20555555555555555</v>
      </c>
      <c r="I49" s="6">
        <v>1</v>
      </c>
      <c r="J49" s="6" t="s">
        <v>22</v>
      </c>
      <c r="K49" s="6" t="s">
        <v>82</v>
      </c>
      <c r="L49" s="6" t="str">
        <f t="shared" si="1"/>
        <v>S04_I0_A00_S115_T1_Use</v>
      </c>
    </row>
    <row r="50" spans="1:13" x14ac:dyDescent="0.25">
      <c r="A50" s="6">
        <v>127</v>
      </c>
      <c r="B50" s="6" t="s">
        <v>5</v>
      </c>
      <c r="C50" s="6">
        <v>1</v>
      </c>
      <c r="D50" s="2">
        <v>0</v>
      </c>
      <c r="E50" s="21" t="s">
        <v>23</v>
      </c>
      <c r="F50" s="24" t="s">
        <v>25</v>
      </c>
      <c r="G50" s="30">
        <v>1</v>
      </c>
      <c r="H50" s="22">
        <v>0.12013888888888889</v>
      </c>
      <c r="I50" s="6">
        <v>1</v>
      </c>
      <c r="J50" s="6" t="s">
        <v>22</v>
      </c>
      <c r="K50" s="6" t="s">
        <v>83</v>
      </c>
      <c r="L50" s="6" t="str">
        <f t="shared" si="1"/>
        <v>S05_I0_A00_S115_T1_Use</v>
      </c>
    </row>
    <row r="51" spans="1:13" x14ac:dyDescent="0.25">
      <c r="A51" s="6">
        <v>131</v>
      </c>
      <c r="B51" s="6" t="s">
        <v>5</v>
      </c>
      <c r="C51" s="6">
        <v>2</v>
      </c>
      <c r="D51" s="2">
        <v>0</v>
      </c>
      <c r="E51" s="21" t="s">
        <v>23</v>
      </c>
      <c r="F51" s="24" t="s">
        <v>21</v>
      </c>
      <c r="G51" s="30">
        <v>5</v>
      </c>
      <c r="H51" s="22">
        <v>0.14722222222222223</v>
      </c>
      <c r="I51" s="6">
        <v>3</v>
      </c>
      <c r="J51" s="6" t="s">
        <v>22</v>
      </c>
      <c r="K51" s="6" t="s">
        <v>84</v>
      </c>
      <c r="L51" s="6" t="str">
        <f t="shared" ref="L51:L76" si="2">B51&amp;"_I"&amp;D51&amp;"_A"&amp;E51&amp;"_S"&amp;F51&amp;"_T"&amp;I51&amp;IF(J51="Use","_"&amp;J51,)</f>
        <v>S05_I0_A00_S085_T3_Use</v>
      </c>
    </row>
    <row r="52" spans="1:13" x14ac:dyDescent="0.25">
      <c r="A52" s="6">
        <v>132</v>
      </c>
      <c r="B52" s="6" t="s">
        <v>5</v>
      </c>
      <c r="C52" s="6">
        <v>3</v>
      </c>
      <c r="D52" s="2">
        <v>0</v>
      </c>
      <c r="E52" s="21" t="s">
        <v>23</v>
      </c>
      <c r="F52" s="24" t="s">
        <v>24</v>
      </c>
      <c r="G52" s="30">
        <v>6</v>
      </c>
      <c r="H52" s="22">
        <v>0.15</v>
      </c>
      <c r="I52" s="6">
        <v>1</v>
      </c>
      <c r="J52" s="6" t="s">
        <v>22</v>
      </c>
      <c r="K52" s="6" t="s">
        <v>85</v>
      </c>
      <c r="L52" s="6" t="str">
        <f t="shared" si="2"/>
        <v>S05_I0_A00_S100_T1_Use</v>
      </c>
    </row>
    <row r="53" spans="1:13" x14ac:dyDescent="0.25">
      <c r="A53" s="6">
        <v>137</v>
      </c>
      <c r="B53" s="6" t="s">
        <v>5</v>
      </c>
      <c r="C53" s="6">
        <v>4</v>
      </c>
      <c r="D53" s="2">
        <v>0</v>
      </c>
      <c r="E53" s="21" t="s">
        <v>26</v>
      </c>
      <c r="F53" s="24" t="s">
        <v>24</v>
      </c>
      <c r="G53" s="30">
        <v>11</v>
      </c>
      <c r="H53" s="22">
        <v>0.16180555555555556</v>
      </c>
      <c r="I53" s="6">
        <v>3</v>
      </c>
      <c r="J53" s="6" t="s">
        <v>22</v>
      </c>
      <c r="K53" s="6" t="s">
        <v>86</v>
      </c>
      <c r="L53" s="6" t="str">
        <f t="shared" si="2"/>
        <v>S05_I0_A15_S100_T3_Use</v>
      </c>
    </row>
    <row r="54" spans="1:13" x14ac:dyDescent="0.25">
      <c r="A54" s="6">
        <v>140</v>
      </c>
      <c r="B54" s="6" t="s">
        <v>5</v>
      </c>
      <c r="C54" s="6">
        <v>5</v>
      </c>
      <c r="D54" s="2">
        <v>0</v>
      </c>
      <c r="E54" s="21" t="s">
        <v>26</v>
      </c>
      <c r="F54" s="24" t="s">
        <v>25</v>
      </c>
      <c r="G54" s="30">
        <v>14</v>
      </c>
      <c r="H54" s="22">
        <v>0.16944444444444445</v>
      </c>
      <c r="I54" s="6">
        <v>3</v>
      </c>
      <c r="J54" s="6" t="s">
        <v>22</v>
      </c>
      <c r="K54" s="6" t="s">
        <v>87</v>
      </c>
      <c r="L54" s="6" t="str">
        <f t="shared" si="2"/>
        <v>S05_I0_A15_S115_T3_Use</v>
      </c>
    </row>
    <row r="55" spans="1:13" s="3" customFormat="1" x14ac:dyDescent="0.25">
      <c r="A55" s="7">
        <v>142</v>
      </c>
      <c r="B55" s="7" t="s">
        <v>5</v>
      </c>
      <c r="C55" s="7">
        <v>6</v>
      </c>
      <c r="D55" s="5">
        <v>0</v>
      </c>
      <c r="E55" s="13" t="s">
        <v>26</v>
      </c>
      <c r="F55" s="25" t="s">
        <v>21</v>
      </c>
      <c r="G55" s="31">
        <v>16</v>
      </c>
      <c r="H55" s="4">
        <v>0.17222222222222222</v>
      </c>
      <c r="I55" s="7">
        <v>2</v>
      </c>
      <c r="J55" s="7" t="s">
        <v>22</v>
      </c>
      <c r="K55" s="7" t="s">
        <v>88</v>
      </c>
      <c r="L55" s="6" t="str">
        <f t="shared" si="2"/>
        <v>S05_I0_A15_S085_T2_Use</v>
      </c>
    </row>
    <row r="56" spans="1:13" x14ac:dyDescent="0.25">
      <c r="A56" s="6">
        <v>143</v>
      </c>
      <c r="B56" s="6" t="s">
        <v>5</v>
      </c>
      <c r="C56" s="6">
        <v>7</v>
      </c>
      <c r="D56" s="2">
        <v>5</v>
      </c>
      <c r="E56" s="21" t="s">
        <v>23</v>
      </c>
      <c r="F56" s="24" t="s">
        <v>24</v>
      </c>
      <c r="G56" s="30">
        <v>17</v>
      </c>
      <c r="H56" s="22">
        <v>0.18194444444444444</v>
      </c>
      <c r="I56" s="6">
        <v>1</v>
      </c>
      <c r="J56" s="6" t="s">
        <v>22</v>
      </c>
      <c r="K56" s="6" t="s">
        <v>89</v>
      </c>
      <c r="L56" s="6" t="str">
        <f t="shared" si="2"/>
        <v>S05_I5_A00_S100_T1_Use</v>
      </c>
    </row>
    <row r="57" spans="1:13" x14ac:dyDescent="0.25">
      <c r="A57" s="6">
        <v>147</v>
      </c>
      <c r="B57" s="6" t="s">
        <v>5</v>
      </c>
      <c r="C57" s="6">
        <v>8</v>
      </c>
      <c r="D57" s="2">
        <v>5</v>
      </c>
      <c r="E57" s="21" t="s">
        <v>23</v>
      </c>
      <c r="F57" s="24" t="s">
        <v>25</v>
      </c>
      <c r="G57" s="30">
        <v>21</v>
      </c>
      <c r="H57" s="22">
        <v>0.19166666666666668</v>
      </c>
      <c r="I57" s="6">
        <v>2</v>
      </c>
      <c r="J57" s="6" t="s">
        <v>22</v>
      </c>
      <c r="K57" s="6" t="s">
        <v>90</v>
      </c>
      <c r="L57" s="6" t="str">
        <f t="shared" si="2"/>
        <v>S05_I5_A00_S115_T2_Use</v>
      </c>
    </row>
    <row r="58" spans="1:13" s="3" customFormat="1" x14ac:dyDescent="0.25">
      <c r="A58" s="7">
        <v>150</v>
      </c>
      <c r="B58" s="7" t="s">
        <v>5</v>
      </c>
      <c r="C58" s="7">
        <v>9</v>
      </c>
      <c r="D58" s="5">
        <v>5</v>
      </c>
      <c r="E58" s="13" t="s">
        <v>23</v>
      </c>
      <c r="F58" s="25" t="s">
        <v>21</v>
      </c>
      <c r="G58" s="31">
        <v>24</v>
      </c>
      <c r="H58" s="4">
        <v>0.19722222222222222</v>
      </c>
      <c r="I58" s="7">
        <v>2</v>
      </c>
      <c r="J58" s="7" t="s">
        <v>22</v>
      </c>
      <c r="K58" s="7" t="s">
        <v>91</v>
      </c>
      <c r="L58" s="6" t="str">
        <f t="shared" si="2"/>
        <v>S05_I5_A00_S085_T2_Use</v>
      </c>
    </row>
    <row r="59" spans="1:13" x14ac:dyDescent="0.25">
      <c r="A59" s="6">
        <v>151</v>
      </c>
      <c r="B59" s="6" t="s">
        <v>5</v>
      </c>
      <c r="C59" s="6">
        <v>10</v>
      </c>
      <c r="D59" s="2">
        <v>5</v>
      </c>
      <c r="E59" s="21" t="s">
        <v>26</v>
      </c>
      <c r="F59" s="24" t="s">
        <v>24</v>
      </c>
      <c r="G59" s="30">
        <v>25</v>
      </c>
      <c r="H59" s="22">
        <v>0.20972222222222223</v>
      </c>
      <c r="I59" s="6">
        <v>1</v>
      </c>
      <c r="J59" s="6" t="s">
        <v>22</v>
      </c>
      <c r="K59" s="6" t="s">
        <v>92</v>
      </c>
      <c r="L59" s="6" t="str">
        <f t="shared" si="2"/>
        <v>S05_I5_A15_S100_T1_Use</v>
      </c>
    </row>
    <row r="60" spans="1:13" x14ac:dyDescent="0.25">
      <c r="A60" s="6">
        <v>154</v>
      </c>
      <c r="B60" s="6" t="s">
        <v>5</v>
      </c>
      <c r="C60" s="6">
        <v>11</v>
      </c>
      <c r="D60" s="2">
        <v>5</v>
      </c>
      <c r="E60" s="21" t="s">
        <v>26</v>
      </c>
      <c r="F60" s="24" t="s">
        <v>25</v>
      </c>
      <c r="G60" s="30">
        <v>28</v>
      </c>
      <c r="H60" s="22">
        <v>0.22500000000000001</v>
      </c>
      <c r="I60" s="6">
        <v>2</v>
      </c>
      <c r="J60" s="6" t="s">
        <v>22</v>
      </c>
      <c r="K60" s="6" t="s">
        <v>93</v>
      </c>
      <c r="L60" s="6" t="str">
        <f t="shared" si="2"/>
        <v>S05_I5_A15_S115_T2_Use</v>
      </c>
    </row>
    <row r="61" spans="1:13" s="10" customFormat="1" ht="15.75" thickBot="1" x14ac:dyDescent="0.3">
      <c r="A61" s="9">
        <v>156</v>
      </c>
      <c r="B61" s="9" t="s">
        <v>5</v>
      </c>
      <c r="C61" s="9">
        <v>12</v>
      </c>
      <c r="D61" s="8">
        <v>5</v>
      </c>
      <c r="E61" s="12" t="s">
        <v>26</v>
      </c>
      <c r="F61" s="26" t="s">
        <v>21</v>
      </c>
      <c r="G61" s="32">
        <v>30</v>
      </c>
      <c r="H61" s="11">
        <v>0.22847222222222222</v>
      </c>
      <c r="I61" s="9">
        <v>2</v>
      </c>
      <c r="J61" s="9" t="s">
        <v>22</v>
      </c>
      <c r="K61" s="9" t="s">
        <v>94</v>
      </c>
      <c r="L61" s="6" t="str">
        <f t="shared" si="2"/>
        <v>S05_I5_A15_S085_T2_Use</v>
      </c>
    </row>
    <row r="62" spans="1:13" x14ac:dyDescent="0.25">
      <c r="A62" s="6">
        <v>157</v>
      </c>
      <c r="B62" s="6" t="s">
        <v>6</v>
      </c>
      <c r="C62" s="6">
        <v>1</v>
      </c>
      <c r="D62" s="2">
        <v>5</v>
      </c>
      <c r="E62" s="21" t="s">
        <v>23</v>
      </c>
      <c r="F62" s="24" t="s">
        <v>21</v>
      </c>
      <c r="G62" s="30">
        <v>1</v>
      </c>
      <c r="H62" s="22">
        <v>0.12430555555555556</v>
      </c>
      <c r="I62" s="6">
        <v>1</v>
      </c>
      <c r="J62" s="6" t="s">
        <v>22</v>
      </c>
      <c r="K62" s="6" t="s">
        <v>95</v>
      </c>
      <c r="L62" s="6" t="str">
        <f t="shared" si="2"/>
        <v>S06_I5_A00_S085_T1_Use</v>
      </c>
    </row>
    <row r="63" spans="1:13" x14ac:dyDescent="0.25">
      <c r="A63" s="6">
        <v>159</v>
      </c>
      <c r="B63" s="6" t="s">
        <v>6</v>
      </c>
      <c r="C63" s="6">
        <v>2</v>
      </c>
      <c r="D63" s="2">
        <v>5</v>
      </c>
      <c r="E63" s="21" t="s">
        <v>23</v>
      </c>
      <c r="F63" s="24" t="s">
        <v>24</v>
      </c>
      <c r="G63" s="30">
        <v>3</v>
      </c>
      <c r="H63" s="22">
        <v>0.12847222222222221</v>
      </c>
      <c r="I63" s="6">
        <v>1</v>
      </c>
      <c r="J63" s="6" t="s">
        <v>22</v>
      </c>
      <c r="K63" s="6" t="s">
        <v>96</v>
      </c>
      <c r="L63" s="6" t="str">
        <f t="shared" si="2"/>
        <v>S06_I5_A00_S100_T1_Use</v>
      </c>
    </row>
    <row r="64" spans="1:13" x14ac:dyDescent="0.25">
      <c r="A64" s="6">
        <v>162</v>
      </c>
      <c r="B64" s="7" t="s">
        <v>6</v>
      </c>
      <c r="C64" s="7">
        <v>3</v>
      </c>
      <c r="D64" s="5">
        <v>5</v>
      </c>
      <c r="E64" s="13" t="s">
        <v>23</v>
      </c>
      <c r="F64" s="25" t="s">
        <v>25</v>
      </c>
      <c r="G64" s="31">
        <v>6</v>
      </c>
      <c r="H64" s="4">
        <v>0.13541666666666666</v>
      </c>
      <c r="I64" s="7">
        <v>2</v>
      </c>
      <c r="J64" s="7" t="s">
        <v>22</v>
      </c>
      <c r="K64" s="7" t="s">
        <v>97</v>
      </c>
      <c r="L64" s="6" t="str">
        <f t="shared" si="2"/>
        <v>S06_I5_A00_S115_T2_Use</v>
      </c>
      <c r="M64" s="3"/>
    </row>
    <row r="65" spans="1:13" s="3" customFormat="1" x14ac:dyDescent="0.25">
      <c r="A65" s="6">
        <v>164</v>
      </c>
      <c r="B65" s="6" t="s">
        <v>6</v>
      </c>
      <c r="C65" s="6">
        <v>4</v>
      </c>
      <c r="D65" s="2">
        <v>5</v>
      </c>
      <c r="E65" s="21" t="s">
        <v>26</v>
      </c>
      <c r="F65" s="24" t="s">
        <v>24</v>
      </c>
      <c r="G65" s="30">
        <v>8</v>
      </c>
      <c r="H65" s="22">
        <v>0.14930555555555555</v>
      </c>
      <c r="I65" s="6">
        <v>2</v>
      </c>
      <c r="J65" s="6" t="s">
        <v>22</v>
      </c>
      <c r="K65" s="6" t="s">
        <v>98</v>
      </c>
      <c r="L65" s="6" t="str">
        <f t="shared" si="2"/>
        <v>S06_I5_A15_S100_T2_Use</v>
      </c>
      <c r="M65"/>
    </row>
    <row r="66" spans="1:13" x14ac:dyDescent="0.25">
      <c r="A66" s="6">
        <v>166</v>
      </c>
      <c r="B66" s="6" t="s">
        <v>6</v>
      </c>
      <c r="C66" s="6">
        <v>5</v>
      </c>
      <c r="D66" s="2">
        <v>5</v>
      </c>
      <c r="E66" s="21" t="s">
        <v>26</v>
      </c>
      <c r="F66" s="24" t="s">
        <v>25</v>
      </c>
      <c r="G66" s="30">
        <v>10</v>
      </c>
      <c r="H66" s="22">
        <v>0.15486111111111112</v>
      </c>
      <c r="I66" s="6">
        <v>2</v>
      </c>
      <c r="J66" s="6" t="s">
        <v>22</v>
      </c>
      <c r="K66" s="6" t="s">
        <v>99</v>
      </c>
      <c r="L66" s="6" t="str">
        <f t="shared" si="2"/>
        <v>S06_I5_A15_S115_T2_Use</v>
      </c>
    </row>
    <row r="67" spans="1:13" x14ac:dyDescent="0.25">
      <c r="A67" s="6">
        <v>168</v>
      </c>
      <c r="B67" s="6" t="s">
        <v>6</v>
      </c>
      <c r="C67" s="6">
        <v>6</v>
      </c>
      <c r="D67" s="2">
        <v>5</v>
      </c>
      <c r="E67" s="21" t="s">
        <v>26</v>
      </c>
      <c r="F67" s="24" t="s">
        <v>21</v>
      </c>
      <c r="G67" s="30">
        <v>12</v>
      </c>
      <c r="H67" s="22">
        <v>0.16180555555555556</v>
      </c>
      <c r="I67" s="6">
        <v>1</v>
      </c>
      <c r="J67" s="6" t="s">
        <v>22</v>
      </c>
      <c r="K67" s="6" t="s">
        <v>100</v>
      </c>
      <c r="L67" s="6" t="str">
        <f t="shared" si="2"/>
        <v>S06_I5_A15_S085_T1_Use</v>
      </c>
    </row>
    <row r="68" spans="1:13" s="3" customFormat="1" x14ac:dyDescent="0.25">
      <c r="A68" s="6">
        <v>171</v>
      </c>
      <c r="B68" s="6" t="s">
        <v>6</v>
      </c>
      <c r="C68" s="6">
        <v>7</v>
      </c>
      <c r="D68" s="2">
        <v>0</v>
      </c>
      <c r="E68" s="21" t="s">
        <v>23</v>
      </c>
      <c r="F68" s="24" t="s">
        <v>24</v>
      </c>
      <c r="G68" s="30">
        <v>15</v>
      </c>
      <c r="H68" s="22">
        <v>0.17777777777777778</v>
      </c>
      <c r="I68" s="6">
        <v>2</v>
      </c>
      <c r="J68" s="6" t="s">
        <v>22</v>
      </c>
      <c r="K68" s="6" t="s">
        <v>101</v>
      </c>
      <c r="L68" s="6" t="str">
        <f t="shared" si="2"/>
        <v>S06_I0_A00_S100_T2_Use</v>
      </c>
      <c r="M68"/>
    </row>
    <row r="69" spans="1:13" x14ac:dyDescent="0.25">
      <c r="A69" s="6">
        <v>172</v>
      </c>
      <c r="B69" s="6" t="s">
        <v>6</v>
      </c>
      <c r="C69" s="6">
        <v>8</v>
      </c>
      <c r="D69" s="2">
        <v>0</v>
      </c>
      <c r="E69" s="21" t="s">
        <v>23</v>
      </c>
      <c r="F69" s="24" t="s">
        <v>21</v>
      </c>
      <c r="G69" s="30">
        <v>16</v>
      </c>
      <c r="H69" s="22">
        <v>0.18124999999999999</v>
      </c>
      <c r="I69" s="6">
        <v>1</v>
      </c>
      <c r="J69" s="6" t="s">
        <v>22</v>
      </c>
      <c r="K69" s="6" t="s">
        <v>102</v>
      </c>
      <c r="L69" s="6" t="str">
        <f t="shared" si="2"/>
        <v>S06_I0_A00_S085_T1_Use</v>
      </c>
    </row>
    <row r="70" spans="1:13" x14ac:dyDescent="0.25">
      <c r="A70" s="6">
        <v>176</v>
      </c>
      <c r="B70" s="7" t="s">
        <v>6</v>
      </c>
      <c r="C70" s="7">
        <v>9</v>
      </c>
      <c r="D70" s="5">
        <v>0</v>
      </c>
      <c r="E70" s="13" t="s">
        <v>23</v>
      </c>
      <c r="F70" s="25" t="s">
        <v>25</v>
      </c>
      <c r="G70" s="31">
        <v>20</v>
      </c>
      <c r="H70" s="4">
        <v>0.19097222222222221</v>
      </c>
      <c r="I70" s="7">
        <v>2</v>
      </c>
      <c r="J70" s="7" t="s">
        <v>22</v>
      </c>
      <c r="K70" s="7" t="s">
        <v>103</v>
      </c>
      <c r="L70" s="6" t="str">
        <f t="shared" si="2"/>
        <v>S06_I0_A00_S115_T2_Use</v>
      </c>
      <c r="M70" s="3"/>
    </row>
    <row r="71" spans="1:13" x14ac:dyDescent="0.25">
      <c r="A71" s="6">
        <v>177</v>
      </c>
      <c r="B71" s="6" t="s">
        <v>6</v>
      </c>
      <c r="C71" s="6">
        <v>10</v>
      </c>
      <c r="D71" s="2">
        <v>0</v>
      </c>
      <c r="E71" s="21" t="s">
        <v>26</v>
      </c>
      <c r="F71" s="24" t="s">
        <v>25</v>
      </c>
      <c r="G71" s="30">
        <v>21</v>
      </c>
      <c r="H71" s="22">
        <v>0.20208333333333334</v>
      </c>
      <c r="I71" s="6">
        <v>1</v>
      </c>
      <c r="J71" s="6" t="s">
        <v>22</v>
      </c>
      <c r="K71" s="6" t="s">
        <v>104</v>
      </c>
      <c r="L71" s="6" t="str">
        <f t="shared" si="2"/>
        <v>S06_I0_A15_S115_T1_Use</v>
      </c>
    </row>
    <row r="72" spans="1:13" x14ac:dyDescent="0.25">
      <c r="A72" s="6">
        <v>179</v>
      </c>
      <c r="B72" s="6" t="s">
        <v>6</v>
      </c>
      <c r="C72" s="6">
        <v>11</v>
      </c>
      <c r="D72" s="2">
        <v>0</v>
      </c>
      <c r="E72" s="21" t="s">
        <v>26</v>
      </c>
      <c r="F72" s="24" t="s">
        <v>24</v>
      </c>
      <c r="G72" s="30">
        <v>23</v>
      </c>
      <c r="H72" s="22">
        <v>0.2048611111111111</v>
      </c>
      <c r="I72" s="6">
        <v>1</v>
      </c>
      <c r="J72" s="6" t="s">
        <v>22</v>
      </c>
      <c r="K72" s="6" t="s">
        <v>105</v>
      </c>
      <c r="L72" s="6" t="str">
        <f t="shared" si="2"/>
        <v>S06_I0_A15_S100_T1_Use</v>
      </c>
    </row>
    <row r="73" spans="1:13" x14ac:dyDescent="0.25">
      <c r="A73" s="6">
        <v>181</v>
      </c>
      <c r="B73" s="6" t="s">
        <v>6</v>
      </c>
      <c r="C73" s="6">
        <v>12</v>
      </c>
      <c r="D73" s="2">
        <v>0</v>
      </c>
      <c r="E73" s="21" t="s">
        <v>26</v>
      </c>
      <c r="F73" s="24" t="s">
        <v>21</v>
      </c>
      <c r="G73" s="30">
        <v>25</v>
      </c>
      <c r="H73" s="22">
        <v>0.21111111111111111</v>
      </c>
      <c r="I73" s="6">
        <v>1</v>
      </c>
      <c r="J73" s="6" t="s">
        <v>22</v>
      </c>
      <c r="K73" s="6" t="s">
        <v>106</v>
      </c>
      <c r="L73" s="6" t="str">
        <f t="shared" si="2"/>
        <v>S06_I0_A15_S085_T1_Use</v>
      </c>
    </row>
    <row r="74" spans="1:13" x14ac:dyDescent="0.25">
      <c r="A74" s="6">
        <v>184</v>
      </c>
      <c r="B74" s="6" t="s">
        <v>7</v>
      </c>
      <c r="C74" s="6">
        <v>1</v>
      </c>
      <c r="D74" s="2">
        <v>5</v>
      </c>
      <c r="E74" s="21" t="s">
        <v>26</v>
      </c>
      <c r="F74" s="24" t="s">
        <v>21</v>
      </c>
      <c r="G74" s="30">
        <v>1</v>
      </c>
      <c r="H74" s="22">
        <v>0.10833333333333334</v>
      </c>
      <c r="I74" s="6">
        <v>1</v>
      </c>
      <c r="J74" s="6" t="s">
        <v>22</v>
      </c>
      <c r="K74" s="6" t="s">
        <v>107</v>
      </c>
      <c r="L74" s="6" t="str">
        <f t="shared" si="2"/>
        <v>S07_I5_A15_S085_T1_Use</v>
      </c>
    </row>
    <row r="75" spans="1:13" x14ac:dyDescent="0.25">
      <c r="A75" s="6">
        <v>187</v>
      </c>
      <c r="B75" s="6" t="s">
        <v>7</v>
      </c>
      <c r="C75" s="6">
        <v>2</v>
      </c>
      <c r="D75" s="2">
        <v>5</v>
      </c>
      <c r="E75" s="21" t="s">
        <v>26</v>
      </c>
      <c r="F75" s="24" t="s">
        <v>24</v>
      </c>
      <c r="G75" s="30">
        <v>4</v>
      </c>
      <c r="H75" s="22">
        <v>0.11597222222222223</v>
      </c>
      <c r="I75" s="6">
        <v>2</v>
      </c>
      <c r="J75" s="6" t="s">
        <v>22</v>
      </c>
      <c r="K75" s="6" t="s">
        <v>108</v>
      </c>
      <c r="L75" s="6" t="str">
        <f t="shared" si="2"/>
        <v>S07_I5_A15_S100_T2_Use</v>
      </c>
    </row>
    <row r="76" spans="1:13" x14ac:dyDescent="0.25">
      <c r="A76" s="6">
        <v>190</v>
      </c>
      <c r="B76" s="6" t="s">
        <v>7</v>
      </c>
      <c r="C76" s="6">
        <v>3</v>
      </c>
      <c r="D76" s="2">
        <v>5</v>
      </c>
      <c r="E76" s="21" t="s">
        <v>26</v>
      </c>
      <c r="F76" s="24" t="s">
        <v>25</v>
      </c>
      <c r="G76" s="30">
        <v>7</v>
      </c>
      <c r="H76" s="22">
        <v>0.12708333333333333</v>
      </c>
      <c r="I76" s="6">
        <v>3</v>
      </c>
      <c r="J76" s="6" t="s">
        <v>22</v>
      </c>
      <c r="K76" s="6" t="s">
        <v>109</v>
      </c>
      <c r="L76" s="6" t="str">
        <f t="shared" si="2"/>
        <v>S07_I5_A15_S115_T3_Use</v>
      </c>
    </row>
    <row r="77" spans="1:13" x14ac:dyDescent="0.25">
      <c r="A77" s="6">
        <v>193</v>
      </c>
      <c r="B77" s="6" t="s">
        <v>7</v>
      </c>
      <c r="C77" s="6">
        <v>4</v>
      </c>
      <c r="D77" s="2">
        <v>5</v>
      </c>
      <c r="E77" s="21" t="s">
        <v>23</v>
      </c>
      <c r="F77" s="24" t="s">
        <v>25</v>
      </c>
      <c r="G77" s="30">
        <v>10</v>
      </c>
      <c r="H77" s="22">
        <v>0.13750000000000001</v>
      </c>
      <c r="I77" s="6">
        <v>2</v>
      </c>
      <c r="J77" s="6" t="s">
        <v>22</v>
      </c>
      <c r="K77" s="6" t="s">
        <v>110</v>
      </c>
      <c r="L77" s="6" t="str">
        <f t="shared" ref="L77:L104" si="3">B77&amp;"_I"&amp;D77&amp;"_A"&amp;E77&amp;"_S"&amp;F77&amp;"_T"&amp;I77&amp;IF(J77="Use","_"&amp;J77,)</f>
        <v>S07_I5_A00_S115_T2_Use</v>
      </c>
    </row>
    <row r="78" spans="1:13" x14ac:dyDescent="0.25">
      <c r="A78" s="6">
        <v>195</v>
      </c>
      <c r="B78" s="6" t="s">
        <v>7</v>
      </c>
      <c r="C78" s="6">
        <v>5</v>
      </c>
      <c r="D78" s="2">
        <v>5</v>
      </c>
      <c r="E78" s="21" t="s">
        <v>23</v>
      </c>
      <c r="F78" s="24" t="s">
        <v>21</v>
      </c>
      <c r="G78" s="30">
        <v>12</v>
      </c>
      <c r="H78" s="22">
        <v>0.14027777777777778</v>
      </c>
      <c r="I78" s="6">
        <v>2</v>
      </c>
      <c r="J78" s="6" t="s">
        <v>22</v>
      </c>
      <c r="K78" s="6" t="s">
        <v>111</v>
      </c>
      <c r="L78" s="6" t="str">
        <f t="shared" si="3"/>
        <v>S07_I5_A00_S085_T2_Use</v>
      </c>
    </row>
    <row r="79" spans="1:13" s="3" customFormat="1" x14ac:dyDescent="0.25">
      <c r="A79" s="6">
        <v>197</v>
      </c>
      <c r="B79" s="7" t="s">
        <v>7</v>
      </c>
      <c r="C79" s="7">
        <v>6</v>
      </c>
      <c r="D79" s="5">
        <v>5</v>
      </c>
      <c r="E79" s="13" t="s">
        <v>23</v>
      </c>
      <c r="F79" s="25" t="s">
        <v>24</v>
      </c>
      <c r="G79" s="31">
        <v>14</v>
      </c>
      <c r="H79" s="4">
        <v>0.14374999999999999</v>
      </c>
      <c r="I79" s="7">
        <v>2</v>
      </c>
      <c r="J79" s="7" t="s">
        <v>22</v>
      </c>
      <c r="K79" s="7" t="s">
        <v>112</v>
      </c>
      <c r="L79" s="6" t="str">
        <f t="shared" si="3"/>
        <v>S07_I5_A00_S100_T2_Use</v>
      </c>
    </row>
    <row r="80" spans="1:13" x14ac:dyDescent="0.25">
      <c r="A80" s="6">
        <v>199</v>
      </c>
      <c r="B80" s="6" t="s">
        <v>7</v>
      </c>
      <c r="C80" s="6">
        <v>7</v>
      </c>
      <c r="D80" s="2">
        <v>0</v>
      </c>
      <c r="E80" s="21" t="s">
        <v>23</v>
      </c>
      <c r="F80" s="24" t="s">
        <v>24</v>
      </c>
      <c r="G80" s="30">
        <v>16</v>
      </c>
      <c r="H80" s="22">
        <v>0.11180555555555556</v>
      </c>
      <c r="I80" s="6">
        <v>2</v>
      </c>
      <c r="J80" s="6" t="s">
        <v>22</v>
      </c>
      <c r="K80" s="6" t="s">
        <v>113</v>
      </c>
      <c r="L80" s="6" t="str">
        <f t="shared" si="3"/>
        <v>S07_I0_A00_S100_T2_Use</v>
      </c>
    </row>
    <row r="81" spans="1:12" x14ac:dyDescent="0.25">
      <c r="A81" s="6">
        <v>202</v>
      </c>
      <c r="B81" s="6" t="s">
        <v>7</v>
      </c>
      <c r="C81" s="6">
        <v>8</v>
      </c>
      <c r="D81" s="2">
        <v>0</v>
      </c>
      <c r="E81" s="21" t="s">
        <v>23</v>
      </c>
      <c r="F81" s="24" t="s">
        <v>21</v>
      </c>
      <c r="G81" s="30">
        <v>19</v>
      </c>
      <c r="H81" s="22">
        <v>0.15833333333333333</v>
      </c>
      <c r="I81" s="6">
        <v>3</v>
      </c>
      <c r="J81" s="6" t="s">
        <v>22</v>
      </c>
      <c r="K81" s="6" t="s">
        <v>114</v>
      </c>
      <c r="L81" s="6" t="str">
        <f t="shared" si="3"/>
        <v>S07_I0_A00_S085_T3_Use</v>
      </c>
    </row>
    <row r="82" spans="1:12" s="3" customFormat="1" x14ac:dyDescent="0.25">
      <c r="A82" s="6">
        <v>204</v>
      </c>
      <c r="B82" s="7" t="s">
        <v>7</v>
      </c>
      <c r="C82" s="7">
        <v>9</v>
      </c>
      <c r="D82" s="5">
        <v>0</v>
      </c>
      <c r="E82" s="13" t="s">
        <v>23</v>
      </c>
      <c r="F82" s="25" t="s">
        <v>25</v>
      </c>
      <c r="G82" s="31">
        <v>21</v>
      </c>
      <c r="H82" s="4">
        <v>0.16180555555555556</v>
      </c>
      <c r="I82" s="7">
        <v>2</v>
      </c>
      <c r="J82" s="7" t="s">
        <v>22</v>
      </c>
      <c r="K82" s="7" t="s">
        <v>115</v>
      </c>
      <c r="L82" s="6" t="str">
        <f t="shared" si="3"/>
        <v>S07_I0_A00_S115_T2_Use</v>
      </c>
    </row>
    <row r="83" spans="1:12" x14ac:dyDescent="0.25">
      <c r="A83" s="6">
        <v>206</v>
      </c>
      <c r="B83" s="6" t="s">
        <v>7</v>
      </c>
      <c r="C83" s="6">
        <v>10</v>
      </c>
      <c r="D83" s="2">
        <v>0</v>
      </c>
      <c r="E83" s="21" t="s">
        <v>26</v>
      </c>
      <c r="F83" s="24" t="s">
        <v>25</v>
      </c>
      <c r="G83" s="30">
        <v>23</v>
      </c>
      <c r="H83" s="22">
        <v>0.17152777777777778</v>
      </c>
      <c r="I83" s="6">
        <v>2</v>
      </c>
      <c r="J83" s="6" t="s">
        <v>22</v>
      </c>
      <c r="K83" s="6" t="s">
        <v>116</v>
      </c>
      <c r="L83" s="6" t="str">
        <f t="shared" si="3"/>
        <v>S07_I0_A15_S115_T2_Use</v>
      </c>
    </row>
    <row r="84" spans="1:12" x14ac:dyDescent="0.25">
      <c r="A84" s="6">
        <v>207</v>
      </c>
      <c r="B84" s="6" t="s">
        <v>7</v>
      </c>
      <c r="C84" s="6">
        <v>11</v>
      </c>
      <c r="D84" s="2">
        <v>0</v>
      </c>
      <c r="E84" s="21" t="s">
        <v>26</v>
      </c>
      <c r="F84" s="24" t="s">
        <v>24</v>
      </c>
      <c r="G84" s="30">
        <v>24</v>
      </c>
      <c r="H84" s="22">
        <v>0.17430555555555555</v>
      </c>
      <c r="I84" s="6">
        <v>1</v>
      </c>
      <c r="J84" s="6" t="s">
        <v>22</v>
      </c>
      <c r="K84" s="6" t="s">
        <v>117</v>
      </c>
      <c r="L84" s="6" t="str">
        <f t="shared" si="3"/>
        <v>S07_I0_A15_S100_T1_Use</v>
      </c>
    </row>
    <row r="85" spans="1:12" x14ac:dyDescent="0.25">
      <c r="A85" s="6">
        <v>209</v>
      </c>
      <c r="B85" s="6" t="s">
        <v>7</v>
      </c>
      <c r="C85" s="6">
        <v>12</v>
      </c>
      <c r="D85" s="2">
        <v>0</v>
      </c>
      <c r="E85" s="21" t="s">
        <v>26</v>
      </c>
      <c r="F85" s="24" t="s">
        <v>21</v>
      </c>
      <c r="G85" s="30">
        <v>26</v>
      </c>
      <c r="H85" s="22">
        <v>0.18402777777777779</v>
      </c>
      <c r="I85" s="6">
        <v>1</v>
      </c>
      <c r="J85" s="6" t="s">
        <v>22</v>
      </c>
      <c r="K85" s="6" t="s">
        <v>118</v>
      </c>
      <c r="L85" s="6" t="str">
        <f t="shared" si="3"/>
        <v>S07_I0_A15_S085_T1_Use</v>
      </c>
    </row>
    <row r="86" spans="1:12" x14ac:dyDescent="0.25">
      <c r="A86" s="6">
        <v>211</v>
      </c>
      <c r="B86" s="6" t="s">
        <v>8</v>
      </c>
      <c r="C86" s="6">
        <v>1</v>
      </c>
      <c r="D86" s="2">
        <v>0</v>
      </c>
      <c r="E86" s="21" t="s">
        <v>23</v>
      </c>
      <c r="F86" s="24" t="s">
        <v>25</v>
      </c>
      <c r="G86" s="30">
        <v>1</v>
      </c>
      <c r="H86" s="22">
        <v>9.583333333333334E-2</v>
      </c>
      <c r="I86" s="6">
        <v>1</v>
      </c>
      <c r="J86" s="6" t="s">
        <v>22</v>
      </c>
      <c r="K86" s="6" t="s">
        <v>119</v>
      </c>
      <c r="L86" s="6" t="str">
        <f t="shared" si="3"/>
        <v>S08_I0_A00_S115_T1_Use</v>
      </c>
    </row>
    <row r="87" spans="1:12" x14ac:dyDescent="0.25">
      <c r="A87" s="6">
        <v>215</v>
      </c>
      <c r="B87" s="6" t="s">
        <v>8</v>
      </c>
      <c r="C87" s="6">
        <v>2</v>
      </c>
      <c r="D87" s="2">
        <v>0</v>
      </c>
      <c r="E87" s="21" t="s">
        <v>23</v>
      </c>
      <c r="F87" s="24" t="s">
        <v>21</v>
      </c>
      <c r="G87" s="30">
        <v>5</v>
      </c>
      <c r="H87" s="22">
        <v>0.10277777777777777</v>
      </c>
      <c r="I87" s="6">
        <v>3</v>
      </c>
      <c r="J87" s="6" t="s">
        <v>22</v>
      </c>
      <c r="K87" s="6" t="s">
        <v>120</v>
      </c>
      <c r="L87" s="6" t="str">
        <f t="shared" si="3"/>
        <v>S08_I0_A00_S085_T3_Use</v>
      </c>
    </row>
    <row r="88" spans="1:12" s="3" customFormat="1" x14ac:dyDescent="0.25">
      <c r="A88" s="6">
        <v>217</v>
      </c>
      <c r="B88" s="7" t="s">
        <v>8</v>
      </c>
      <c r="C88" s="7">
        <v>3</v>
      </c>
      <c r="D88" s="5">
        <v>0</v>
      </c>
      <c r="E88" s="13" t="s">
        <v>23</v>
      </c>
      <c r="F88" s="25" t="s">
        <v>24</v>
      </c>
      <c r="G88" s="31">
        <v>7</v>
      </c>
      <c r="H88" s="4">
        <v>0.10486111111111111</v>
      </c>
      <c r="I88" s="7">
        <v>2</v>
      </c>
      <c r="J88" s="7" t="s">
        <v>22</v>
      </c>
      <c r="K88" s="7" t="s">
        <v>121</v>
      </c>
      <c r="L88" s="6" t="str">
        <f t="shared" si="3"/>
        <v>S08_I0_A00_S100_T2_Use</v>
      </c>
    </row>
    <row r="89" spans="1:12" x14ac:dyDescent="0.25">
      <c r="A89" s="6">
        <v>219</v>
      </c>
      <c r="B89" s="6" t="s">
        <v>8</v>
      </c>
      <c r="C89" s="6">
        <v>4</v>
      </c>
      <c r="D89" s="2">
        <v>0</v>
      </c>
      <c r="E89" s="21" t="s">
        <v>26</v>
      </c>
      <c r="F89" s="24" t="s">
        <v>24</v>
      </c>
      <c r="G89" s="30">
        <v>9</v>
      </c>
      <c r="H89" s="22">
        <v>0.1125</v>
      </c>
      <c r="I89" s="6">
        <v>2</v>
      </c>
      <c r="J89" s="6" t="s">
        <v>22</v>
      </c>
      <c r="K89" s="6" t="s">
        <v>122</v>
      </c>
      <c r="L89" s="6" t="str">
        <f t="shared" si="3"/>
        <v>S08_I0_A15_S100_T2_Use</v>
      </c>
    </row>
    <row r="90" spans="1:12" x14ac:dyDescent="0.25">
      <c r="A90" s="6">
        <v>220</v>
      </c>
      <c r="B90" s="6" t="s">
        <v>8</v>
      </c>
      <c r="C90" s="6">
        <v>5</v>
      </c>
      <c r="D90" s="2">
        <v>0</v>
      </c>
      <c r="E90" s="21" t="s">
        <v>26</v>
      </c>
      <c r="F90" s="24" t="s">
        <v>25</v>
      </c>
      <c r="G90" s="30">
        <v>10</v>
      </c>
      <c r="H90" s="22">
        <v>0.12013888888888889</v>
      </c>
      <c r="I90" s="6">
        <v>1</v>
      </c>
      <c r="J90" s="6" t="s">
        <v>22</v>
      </c>
      <c r="K90" s="6" t="s">
        <v>123</v>
      </c>
      <c r="L90" s="6" t="str">
        <f t="shared" si="3"/>
        <v>S08_I0_A15_S115_T1_Use</v>
      </c>
    </row>
    <row r="91" spans="1:12" s="3" customFormat="1" x14ac:dyDescent="0.25">
      <c r="A91" s="6">
        <v>223</v>
      </c>
      <c r="B91" s="7" t="s">
        <v>8</v>
      </c>
      <c r="C91" s="7">
        <v>6</v>
      </c>
      <c r="D91" s="5">
        <v>0</v>
      </c>
      <c r="E91" s="13" t="s">
        <v>26</v>
      </c>
      <c r="F91" s="25" t="s">
        <v>21</v>
      </c>
      <c r="G91" s="31">
        <v>13</v>
      </c>
      <c r="H91" s="4">
        <v>0.12430555555555556</v>
      </c>
      <c r="I91" s="7">
        <v>2</v>
      </c>
      <c r="J91" s="7" t="s">
        <v>22</v>
      </c>
      <c r="K91" s="7" t="s">
        <v>124</v>
      </c>
      <c r="L91" s="6" t="str">
        <f t="shared" si="3"/>
        <v>S08_I0_A15_S085_T2_Use</v>
      </c>
    </row>
    <row r="92" spans="1:12" x14ac:dyDescent="0.25">
      <c r="A92" s="6">
        <v>224</v>
      </c>
      <c r="B92" s="6" t="s">
        <v>8</v>
      </c>
      <c r="C92" s="6">
        <v>7</v>
      </c>
      <c r="D92" s="2">
        <v>5</v>
      </c>
      <c r="E92" s="21" t="s">
        <v>26</v>
      </c>
      <c r="F92" s="24" t="s">
        <v>21</v>
      </c>
      <c r="G92" s="30">
        <v>14</v>
      </c>
      <c r="H92" s="22">
        <v>0.13541666666666666</v>
      </c>
      <c r="I92" s="6">
        <v>1</v>
      </c>
      <c r="J92" s="6" t="s">
        <v>22</v>
      </c>
      <c r="K92" s="6" t="s">
        <v>125</v>
      </c>
      <c r="L92" s="6" t="str">
        <f t="shared" si="3"/>
        <v>S08_I5_A15_S085_T1_Use</v>
      </c>
    </row>
    <row r="93" spans="1:12" x14ac:dyDescent="0.25">
      <c r="A93" s="6">
        <v>228</v>
      </c>
      <c r="B93" s="6" t="s">
        <v>8</v>
      </c>
      <c r="C93" s="6">
        <v>8</v>
      </c>
      <c r="D93" s="2">
        <v>5</v>
      </c>
      <c r="E93" s="21" t="s">
        <v>26</v>
      </c>
      <c r="F93" s="24" t="s">
        <v>25</v>
      </c>
      <c r="G93" s="30">
        <v>18</v>
      </c>
      <c r="H93" s="22">
        <v>0.15069444444444444</v>
      </c>
      <c r="I93" s="6">
        <v>3</v>
      </c>
      <c r="J93" s="6" t="s">
        <v>22</v>
      </c>
      <c r="K93" s="6" t="s">
        <v>126</v>
      </c>
      <c r="L93" s="6" t="str">
        <f t="shared" si="3"/>
        <v>S08_I5_A15_S115_T3_Use</v>
      </c>
    </row>
    <row r="94" spans="1:12" x14ac:dyDescent="0.25">
      <c r="A94" s="6">
        <v>230</v>
      </c>
      <c r="B94" s="6" t="s">
        <v>8</v>
      </c>
      <c r="C94" s="6">
        <v>9</v>
      </c>
      <c r="D94" s="2">
        <v>5</v>
      </c>
      <c r="E94" s="21" t="s">
        <v>26</v>
      </c>
      <c r="F94" s="24" t="s">
        <v>24</v>
      </c>
      <c r="G94" s="30">
        <v>20</v>
      </c>
      <c r="H94" s="22">
        <v>0.15833333333333333</v>
      </c>
      <c r="I94" s="6">
        <v>1</v>
      </c>
      <c r="J94" s="6" t="s">
        <v>22</v>
      </c>
      <c r="K94" s="6" t="s">
        <v>127</v>
      </c>
      <c r="L94" s="6" t="str">
        <f t="shared" si="3"/>
        <v>S08_I5_A15_S100_T1_Use</v>
      </c>
    </row>
    <row r="95" spans="1:12" x14ac:dyDescent="0.25">
      <c r="A95" s="6">
        <v>232</v>
      </c>
      <c r="B95" s="6" t="s">
        <v>8</v>
      </c>
      <c r="C95" s="6">
        <v>10</v>
      </c>
      <c r="D95" s="2">
        <v>5</v>
      </c>
      <c r="E95" s="21" t="s">
        <v>23</v>
      </c>
      <c r="F95" s="24" t="s">
        <v>21</v>
      </c>
      <c r="G95" s="30">
        <v>22</v>
      </c>
      <c r="H95" s="22">
        <v>0.16180555555555556</v>
      </c>
      <c r="I95" s="6">
        <v>1</v>
      </c>
      <c r="J95" s="6" t="s">
        <v>22</v>
      </c>
      <c r="K95" s="6" t="s">
        <v>128</v>
      </c>
      <c r="L95" s="6" t="str">
        <f t="shared" si="3"/>
        <v>S08_I5_A00_S085_T1_Use</v>
      </c>
    </row>
    <row r="96" spans="1:12" x14ac:dyDescent="0.25">
      <c r="A96" s="6">
        <v>235</v>
      </c>
      <c r="B96" s="6" t="s">
        <v>8</v>
      </c>
      <c r="C96" s="6">
        <v>11</v>
      </c>
      <c r="D96" s="2">
        <v>5</v>
      </c>
      <c r="E96" s="21" t="s">
        <v>23</v>
      </c>
      <c r="F96" s="24" t="s">
        <v>24</v>
      </c>
      <c r="G96" s="30">
        <v>25</v>
      </c>
      <c r="H96" s="22">
        <v>0.1701388888888889</v>
      </c>
      <c r="I96" s="6">
        <v>2</v>
      </c>
      <c r="J96" s="6" t="s">
        <v>22</v>
      </c>
      <c r="K96" s="6" t="s">
        <v>129</v>
      </c>
      <c r="L96" s="6" t="str">
        <f t="shared" si="3"/>
        <v>S08_I5_A00_S100_T2_Use</v>
      </c>
    </row>
    <row r="97" spans="1:12" x14ac:dyDescent="0.25">
      <c r="A97" s="6">
        <v>237</v>
      </c>
      <c r="B97" s="6" t="s">
        <v>8</v>
      </c>
      <c r="C97" s="6">
        <v>12</v>
      </c>
      <c r="D97" s="2">
        <v>5</v>
      </c>
      <c r="E97" s="21" t="s">
        <v>23</v>
      </c>
      <c r="F97" s="24" t="s">
        <v>25</v>
      </c>
      <c r="G97" s="30">
        <v>27</v>
      </c>
      <c r="H97" s="22">
        <v>0.17569444444444443</v>
      </c>
      <c r="I97" s="6">
        <v>1</v>
      </c>
      <c r="J97" s="6" t="s">
        <v>22</v>
      </c>
      <c r="K97" s="6" t="s">
        <v>130</v>
      </c>
      <c r="L97" s="6" t="str">
        <f t="shared" si="3"/>
        <v>S08_I5_A00_S115_T1_Use</v>
      </c>
    </row>
    <row r="98" spans="1:12" x14ac:dyDescent="0.25">
      <c r="A98" s="6">
        <v>239</v>
      </c>
      <c r="B98" s="6" t="s">
        <v>9</v>
      </c>
      <c r="C98" s="6">
        <v>1</v>
      </c>
      <c r="D98" s="2">
        <v>0</v>
      </c>
      <c r="E98" s="21" t="s">
        <v>26</v>
      </c>
      <c r="F98" s="24" t="s">
        <v>25</v>
      </c>
      <c r="G98" s="30">
        <v>1</v>
      </c>
      <c r="H98" s="22">
        <v>0.11388888888888889</v>
      </c>
      <c r="I98" s="6">
        <v>1</v>
      </c>
      <c r="J98" s="6" t="s">
        <v>22</v>
      </c>
      <c r="K98" s="6" t="s">
        <v>131</v>
      </c>
      <c r="L98" s="6" t="str">
        <f t="shared" si="3"/>
        <v>S09_I0_A15_S115_T1_Use</v>
      </c>
    </row>
    <row r="99" spans="1:12" x14ac:dyDescent="0.25">
      <c r="A99" s="6">
        <v>243</v>
      </c>
      <c r="B99" s="6" t="s">
        <v>9</v>
      </c>
      <c r="C99" s="6">
        <v>2</v>
      </c>
      <c r="D99" s="2">
        <v>0</v>
      </c>
      <c r="E99" s="21" t="s">
        <v>26</v>
      </c>
      <c r="F99" s="24" t="s">
        <v>21</v>
      </c>
      <c r="G99" s="30">
        <v>5</v>
      </c>
      <c r="H99" s="22">
        <v>0.12291666666666666</v>
      </c>
      <c r="I99" s="6">
        <v>2</v>
      </c>
      <c r="J99" s="6" t="s">
        <v>22</v>
      </c>
      <c r="K99" s="6" t="s">
        <v>132</v>
      </c>
      <c r="L99" s="6" t="str">
        <f t="shared" si="3"/>
        <v>S09_I0_A15_S085_T2_Use</v>
      </c>
    </row>
    <row r="100" spans="1:12" s="3" customFormat="1" x14ac:dyDescent="0.25">
      <c r="A100" s="6">
        <v>245</v>
      </c>
      <c r="B100" s="7" t="s">
        <v>9</v>
      </c>
      <c r="C100" s="7">
        <v>3</v>
      </c>
      <c r="D100" s="5">
        <v>0</v>
      </c>
      <c r="E100" s="13" t="s">
        <v>26</v>
      </c>
      <c r="F100" s="25" t="s">
        <v>24</v>
      </c>
      <c r="G100" s="31">
        <v>7</v>
      </c>
      <c r="H100" s="4">
        <v>0.12638888888888888</v>
      </c>
      <c r="I100" s="7">
        <v>2</v>
      </c>
      <c r="J100" s="7" t="s">
        <v>22</v>
      </c>
      <c r="K100" s="7" t="s">
        <v>133</v>
      </c>
      <c r="L100" s="6" t="str">
        <f t="shared" si="3"/>
        <v>S09_I0_A15_S100_T2_Use</v>
      </c>
    </row>
    <row r="101" spans="1:12" x14ac:dyDescent="0.25">
      <c r="A101" s="6">
        <v>246</v>
      </c>
      <c r="B101" s="6" t="s">
        <v>9</v>
      </c>
      <c r="C101" s="6">
        <v>4</v>
      </c>
      <c r="D101" s="2">
        <v>0</v>
      </c>
      <c r="E101" s="21" t="s">
        <v>23</v>
      </c>
      <c r="F101" s="24" t="s">
        <v>21</v>
      </c>
      <c r="G101" s="30">
        <v>8</v>
      </c>
      <c r="H101" s="22">
        <v>0.13333333333333333</v>
      </c>
      <c r="I101" s="6">
        <v>1</v>
      </c>
      <c r="J101" s="6" t="s">
        <v>22</v>
      </c>
      <c r="K101" s="6" t="s">
        <v>134</v>
      </c>
      <c r="L101" s="6" t="str">
        <f t="shared" si="3"/>
        <v>S09_I0_A00_S085_T1_Use</v>
      </c>
    </row>
    <row r="102" spans="1:12" x14ac:dyDescent="0.25">
      <c r="A102" s="6">
        <v>248</v>
      </c>
      <c r="B102" s="6" t="s">
        <v>9</v>
      </c>
      <c r="C102" s="6">
        <v>5</v>
      </c>
      <c r="D102" s="2">
        <v>0</v>
      </c>
      <c r="E102" s="21" t="s">
        <v>23</v>
      </c>
      <c r="F102" s="24" t="s">
        <v>24</v>
      </c>
      <c r="G102" s="30">
        <v>10</v>
      </c>
      <c r="H102" s="22">
        <v>0.13680555555555557</v>
      </c>
      <c r="I102" s="6">
        <v>1</v>
      </c>
      <c r="J102" s="6" t="s">
        <v>22</v>
      </c>
      <c r="K102" s="6" t="s">
        <v>135</v>
      </c>
      <c r="L102" s="6" t="str">
        <f t="shared" si="3"/>
        <v>S09_I0_A00_S100_T1_Use</v>
      </c>
    </row>
    <row r="103" spans="1:12" s="3" customFormat="1" x14ac:dyDescent="0.25">
      <c r="A103" s="6">
        <v>254</v>
      </c>
      <c r="B103" s="7" t="s">
        <v>9</v>
      </c>
      <c r="C103" s="7">
        <v>6</v>
      </c>
      <c r="D103" s="5">
        <v>0</v>
      </c>
      <c r="E103" s="13" t="s">
        <v>23</v>
      </c>
      <c r="F103" s="25" t="s">
        <v>25</v>
      </c>
      <c r="G103" s="31">
        <v>16</v>
      </c>
      <c r="H103" s="4">
        <v>0.15972222222222221</v>
      </c>
      <c r="I103" s="7">
        <v>5</v>
      </c>
      <c r="J103" s="7" t="s">
        <v>22</v>
      </c>
      <c r="K103" s="7" t="s">
        <v>136</v>
      </c>
      <c r="L103" s="6" t="str">
        <f t="shared" si="3"/>
        <v>S09_I0_A00_S115_T5_Use</v>
      </c>
    </row>
    <row r="104" spans="1:12" x14ac:dyDescent="0.25">
      <c r="A104" s="6">
        <v>255</v>
      </c>
      <c r="B104" s="6" t="s">
        <v>9</v>
      </c>
      <c r="C104" s="6">
        <v>7</v>
      </c>
      <c r="D104" s="2">
        <v>5</v>
      </c>
      <c r="E104" s="21" t="s">
        <v>23</v>
      </c>
      <c r="F104" s="24" t="s">
        <v>21</v>
      </c>
      <c r="G104" s="30">
        <v>17</v>
      </c>
      <c r="H104" s="22">
        <v>0.1673611111111111</v>
      </c>
      <c r="I104" s="6">
        <v>1</v>
      </c>
      <c r="J104" s="6" t="s">
        <v>22</v>
      </c>
      <c r="K104" s="6" t="s">
        <v>137</v>
      </c>
      <c r="L104" s="6" t="str">
        <f t="shared" si="3"/>
        <v>S09_I5_A00_S085_T1_Use</v>
      </c>
    </row>
    <row r="105" spans="1:12" x14ac:dyDescent="0.25">
      <c r="A105" s="6">
        <v>258</v>
      </c>
      <c r="B105" s="6" t="s">
        <v>9</v>
      </c>
      <c r="C105" s="6">
        <v>8</v>
      </c>
      <c r="D105" s="2">
        <v>5</v>
      </c>
      <c r="E105" s="21" t="s">
        <v>23</v>
      </c>
      <c r="F105" s="24" t="s">
        <v>25</v>
      </c>
      <c r="G105" s="30">
        <v>20</v>
      </c>
      <c r="H105" s="22">
        <v>0.17291666666666666</v>
      </c>
      <c r="I105" s="6">
        <v>2</v>
      </c>
      <c r="J105" s="6" t="s">
        <v>22</v>
      </c>
      <c r="K105" s="6" t="s">
        <v>138</v>
      </c>
      <c r="L105" s="6" t="str">
        <f t="shared" ref="L105:L121" si="4">B105&amp;"_I"&amp;D105&amp;"_A"&amp;E105&amp;"_S"&amp;F105&amp;"_T"&amp;I105&amp;IF(J105="Use","_"&amp;J105,)</f>
        <v>S09_I5_A00_S115_T2_Use</v>
      </c>
    </row>
    <row r="106" spans="1:12" x14ac:dyDescent="0.25">
      <c r="A106" s="6">
        <v>259</v>
      </c>
      <c r="B106" s="6" t="s">
        <v>9</v>
      </c>
      <c r="C106" s="6">
        <v>9</v>
      </c>
      <c r="D106" s="2">
        <v>5</v>
      </c>
      <c r="E106" s="21" t="s">
        <v>23</v>
      </c>
      <c r="F106" s="24" t="s">
        <v>24</v>
      </c>
      <c r="G106" s="30">
        <v>21</v>
      </c>
      <c r="H106" s="22">
        <v>0.17569444444444443</v>
      </c>
      <c r="I106" s="6">
        <v>1</v>
      </c>
      <c r="J106" s="6" t="s">
        <v>22</v>
      </c>
      <c r="K106" s="6" t="s">
        <v>139</v>
      </c>
      <c r="L106" s="6" t="str">
        <f t="shared" si="4"/>
        <v>S09_I5_A00_S100_T1_Use</v>
      </c>
    </row>
    <row r="107" spans="1:12" x14ac:dyDescent="0.25">
      <c r="A107" s="6">
        <v>261</v>
      </c>
      <c r="B107" s="6" t="s">
        <v>9</v>
      </c>
      <c r="C107" s="6">
        <v>10</v>
      </c>
      <c r="D107" s="2">
        <v>5</v>
      </c>
      <c r="E107" s="21" t="s">
        <v>26</v>
      </c>
      <c r="F107" s="24" t="s">
        <v>25</v>
      </c>
      <c r="G107" s="30">
        <v>23</v>
      </c>
      <c r="H107" s="22">
        <v>0.18263888888888888</v>
      </c>
      <c r="I107" s="6">
        <v>1</v>
      </c>
      <c r="J107" s="6" t="s">
        <v>22</v>
      </c>
      <c r="K107" s="6" t="s">
        <v>140</v>
      </c>
      <c r="L107" s="6" t="str">
        <f t="shared" si="4"/>
        <v>S09_I5_A15_S115_T1_Use</v>
      </c>
    </row>
    <row r="108" spans="1:12" x14ac:dyDescent="0.25">
      <c r="A108" s="6">
        <v>264</v>
      </c>
      <c r="B108" s="6" t="s">
        <v>9</v>
      </c>
      <c r="C108" s="6">
        <v>11</v>
      </c>
      <c r="D108" s="2">
        <v>5</v>
      </c>
      <c r="E108" s="21" t="s">
        <v>26</v>
      </c>
      <c r="F108" s="24" t="s">
        <v>21</v>
      </c>
      <c r="G108" s="30">
        <v>26</v>
      </c>
      <c r="H108" s="22">
        <v>0.18958333333333333</v>
      </c>
      <c r="I108" s="6">
        <v>2</v>
      </c>
      <c r="J108" s="6" t="s">
        <v>22</v>
      </c>
      <c r="K108" s="6" t="s">
        <v>141</v>
      </c>
      <c r="L108" s="6" t="str">
        <f t="shared" si="4"/>
        <v>S09_I5_A15_S085_T2_Use</v>
      </c>
    </row>
    <row r="109" spans="1:12" x14ac:dyDescent="0.25">
      <c r="A109" s="6">
        <v>265</v>
      </c>
      <c r="B109" s="6" t="s">
        <v>9</v>
      </c>
      <c r="C109" s="6">
        <v>12</v>
      </c>
      <c r="D109" s="2">
        <v>5</v>
      </c>
      <c r="E109" s="21" t="s">
        <v>26</v>
      </c>
      <c r="F109" s="24" t="s">
        <v>24</v>
      </c>
      <c r="G109" s="30">
        <v>27</v>
      </c>
      <c r="H109" s="22">
        <v>0.19513888888888889</v>
      </c>
      <c r="I109" s="6">
        <v>1</v>
      </c>
      <c r="J109" s="6" t="s">
        <v>22</v>
      </c>
      <c r="K109" s="6" t="s">
        <v>142</v>
      </c>
      <c r="L109" s="6" t="str">
        <f t="shared" si="4"/>
        <v>S09_I5_A15_S100_T1_Use</v>
      </c>
    </row>
    <row r="110" spans="1:12" x14ac:dyDescent="0.25">
      <c r="A110" s="6">
        <v>268</v>
      </c>
      <c r="B110" s="6" t="s">
        <v>10</v>
      </c>
      <c r="C110" s="6">
        <v>1</v>
      </c>
      <c r="D110" s="2">
        <v>0</v>
      </c>
      <c r="E110" s="21" t="s">
        <v>23</v>
      </c>
      <c r="F110" s="24" t="s">
        <v>25</v>
      </c>
      <c r="G110" s="30">
        <v>2</v>
      </c>
      <c r="H110" s="22">
        <v>8.3333333333333329E-2</v>
      </c>
      <c r="I110" s="6">
        <v>2</v>
      </c>
      <c r="J110" s="6" t="s">
        <v>22</v>
      </c>
      <c r="K110" s="6" t="s">
        <v>143</v>
      </c>
      <c r="L110" s="6" t="str">
        <f t="shared" si="4"/>
        <v>S10_I0_A00_S115_T2_Use</v>
      </c>
    </row>
    <row r="111" spans="1:12" x14ac:dyDescent="0.25">
      <c r="A111" s="6">
        <v>271</v>
      </c>
      <c r="B111" s="6" t="s">
        <v>10</v>
      </c>
      <c r="C111" s="6">
        <v>2</v>
      </c>
      <c r="D111" s="2">
        <v>0</v>
      </c>
      <c r="E111" s="21" t="s">
        <v>23</v>
      </c>
      <c r="F111" s="24" t="s">
        <v>21</v>
      </c>
      <c r="G111" s="30">
        <v>5</v>
      </c>
      <c r="H111" s="22">
        <v>8.7499999999999994E-2</v>
      </c>
      <c r="I111" s="6">
        <v>2</v>
      </c>
      <c r="J111" s="6" t="s">
        <v>22</v>
      </c>
      <c r="K111" s="6" t="s">
        <v>144</v>
      </c>
      <c r="L111" s="6" t="str">
        <f t="shared" si="4"/>
        <v>S10_I0_A00_S085_T2_Use</v>
      </c>
    </row>
    <row r="112" spans="1:12" x14ac:dyDescent="0.25">
      <c r="A112" s="6">
        <v>272</v>
      </c>
      <c r="B112" s="6" t="s">
        <v>10</v>
      </c>
      <c r="C112" s="34">
        <v>3</v>
      </c>
      <c r="D112" s="2">
        <v>0</v>
      </c>
      <c r="E112" s="21" t="s">
        <v>23</v>
      </c>
      <c r="F112" s="24" t="s">
        <v>24</v>
      </c>
      <c r="G112" s="30">
        <v>6</v>
      </c>
      <c r="H112" s="22">
        <v>8.9583333333333334E-2</v>
      </c>
      <c r="I112" s="6">
        <v>1</v>
      </c>
      <c r="J112" s="6" t="s">
        <v>22</v>
      </c>
      <c r="K112" s="6" t="s">
        <v>145</v>
      </c>
      <c r="L112" s="6" t="str">
        <f t="shared" si="4"/>
        <v>S10_I0_A00_S100_T1_Use</v>
      </c>
    </row>
    <row r="113" spans="1:12" x14ac:dyDescent="0.25">
      <c r="A113" s="6">
        <v>274</v>
      </c>
      <c r="B113" s="6" t="s">
        <v>10</v>
      </c>
      <c r="C113" s="6">
        <v>4</v>
      </c>
      <c r="D113" s="2">
        <v>0</v>
      </c>
      <c r="E113" s="21" t="s">
        <v>26</v>
      </c>
      <c r="F113" s="24" t="s">
        <v>24</v>
      </c>
      <c r="G113" s="30">
        <v>8</v>
      </c>
      <c r="H113" s="22">
        <v>9.7222222222222224E-2</v>
      </c>
      <c r="I113" s="6">
        <v>1</v>
      </c>
      <c r="J113" s="6" t="s">
        <v>22</v>
      </c>
      <c r="K113" s="6" t="s">
        <v>146</v>
      </c>
      <c r="L113" s="6" t="str">
        <f t="shared" si="4"/>
        <v>S10_I0_A15_S100_T1_Use</v>
      </c>
    </row>
    <row r="114" spans="1:12" x14ac:dyDescent="0.25">
      <c r="A114" s="6">
        <v>277</v>
      </c>
      <c r="B114" s="6" t="s">
        <v>10</v>
      </c>
      <c r="C114" s="6">
        <v>5</v>
      </c>
      <c r="D114" s="2">
        <v>0</v>
      </c>
      <c r="E114" s="21" t="s">
        <v>26</v>
      </c>
      <c r="F114" s="24" t="s">
        <v>21</v>
      </c>
      <c r="G114" s="30">
        <v>11</v>
      </c>
      <c r="H114" s="22">
        <v>0.10277777777777777</v>
      </c>
      <c r="I114" s="6">
        <v>2</v>
      </c>
      <c r="J114" s="6" t="s">
        <v>22</v>
      </c>
      <c r="K114" s="6" t="s">
        <v>147</v>
      </c>
      <c r="L114" s="6" t="str">
        <f t="shared" si="4"/>
        <v>S10_I0_A15_S085_T2_Use</v>
      </c>
    </row>
    <row r="115" spans="1:12" x14ac:dyDescent="0.25">
      <c r="A115" s="6">
        <v>278</v>
      </c>
      <c r="B115" s="6" t="s">
        <v>10</v>
      </c>
      <c r="C115" s="6">
        <v>6</v>
      </c>
      <c r="D115" s="2">
        <v>0</v>
      </c>
      <c r="E115" s="21" t="s">
        <v>26</v>
      </c>
      <c r="F115" s="24" t="s">
        <v>25</v>
      </c>
      <c r="G115" s="30">
        <v>12</v>
      </c>
      <c r="H115" s="22">
        <v>0.10486111111111111</v>
      </c>
      <c r="I115" s="6">
        <v>1</v>
      </c>
      <c r="J115" s="6" t="s">
        <v>22</v>
      </c>
      <c r="K115" s="6" t="s">
        <v>148</v>
      </c>
      <c r="L115" s="6" t="str">
        <f t="shared" si="4"/>
        <v>S10_I0_A15_S115_T1_Use</v>
      </c>
    </row>
    <row r="116" spans="1:12" x14ac:dyDescent="0.25">
      <c r="A116" s="6">
        <v>281</v>
      </c>
      <c r="B116" s="6" t="s">
        <v>10</v>
      </c>
      <c r="C116" s="6">
        <v>7</v>
      </c>
      <c r="D116" s="2">
        <v>5</v>
      </c>
      <c r="E116" s="21" t="s">
        <v>23</v>
      </c>
      <c r="F116" s="24" t="s">
        <v>25</v>
      </c>
      <c r="G116" s="30">
        <v>15</v>
      </c>
      <c r="H116" s="22">
        <v>0.11527777777777778</v>
      </c>
      <c r="I116" s="6">
        <v>1</v>
      </c>
      <c r="J116" s="6" t="s">
        <v>22</v>
      </c>
      <c r="K116" s="6" t="s">
        <v>149</v>
      </c>
      <c r="L116" s="6" t="str">
        <f t="shared" si="4"/>
        <v>S10_I5_A00_S115_T1_Use</v>
      </c>
    </row>
    <row r="117" spans="1:12" x14ac:dyDescent="0.25">
      <c r="A117" s="6">
        <v>285</v>
      </c>
      <c r="B117" s="6" t="s">
        <v>10</v>
      </c>
      <c r="C117" s="6">
        <v>8</v>
      </c>
      <c r="D117" s="2">
        <v>5</v>
      </c>
      <c r="E117" s="21" t="s">
        <v>23</v>
      </c>
      <c r="F117" s="24" t="s">
        <v>21</v>
      </c>
      <c r="G117" s="30">
        <v>19</v>
      </c>
      <c r="H117" s="22">
        <v>0.12222222222222222</v>
      </c>
      <c r="I117" s="6">
        <v>2</v>
      </c>
      <c r="J117" s="6" t="s">
        <v>22</v>
      </c>
      <c r="K117" s="6" t="s">
        <v>150</v>
      </c>
      <c r="L117" s="6" t="str">
        <f t="shared" si="4"/>
        <v>S10_I5_A00_S085_T2_Use</v>
      </c>
    </row>
    <row r="118" spans="1:12" s="3" customFormat="1" x14ac:dyDescent="0.25">
      <c r="A118" s="6">
        <v>287</v>
      </c>
      <c r="B118" s="7" t="s">
        <v>10</v>
      </c>
      <c r="C118" s="7">
        <v>9</v>
      </c>
      <c r="D118" s="5">
        <v>5</v>
      </c>
      <c r="E118" s="13" t="s">
        <v>23</v>
      </c>
      <c r="F118" s="25" t="s">
        <v>24</v>
      </c>
      <c r="G118" s="31">
        <v>21</v>
      </c>
      <c r="H118" s="4">
        <v>0.12430555555555556</v>
      </c>
      <c r="I118" s="7">
        <v>2</v>
      </c>
      <c r="J118" s="7" t="s">
        <v>22</v>
      </c>
      <c r="K118" s="7" t="s">
        <v>151</v>
      </c>
      <c r="L118" s="6" t="str">
        <f t="shared" si="4"/>
        <v>S10_I5_A00_S100_T2_Use</v>
      </c>
    </row>
    <row r="119" spans="1:12" x14ac:dyDescent="0.25">
      <c r="A119" s="6">
        <v>289</v>
      </c>
      <c r="B119" s="6" t="s">
        <v>10</v>
      </c>
      <c r="C119" s="6">
        <v>10</v>
      </c>
      <c r="D119" s="2">
        <v>5</v>
      </c>
      <c r="E119" s="21" t="s">
        <v>26</v>
      </c>
      <c r="F119" s="24" t="s">
        <v>21</v>
      </c>
      <c r="G119" s="30">
        <v>23</v>
      </c>
      <c r="H119" s="22">
        <v>0.13125000000000001</v>
      </c>
      <c r="I119" s="6">
        <v>2</v>
      </c>
      <c r="J119" s="6" t="s">
        <v>22</v>
      </c>
      <c r="K119" s="6" t="s">
        <v>152</v>
      </c>
      <c r="L119" s="6" t="str">
        <f t="shared" si="4"/>
        <v>S10_I5_A15_S085_T2_Use</v>
      </c>
    </row>
    <row r="120" spans="1:12" x14ac:dyDescent="0.25">
      <c r="A120" s="6">
        <v>290</v>
      </c>
      <c r="B120" s="6" t="s">
        <v>10</v>
      </c>
      <c r="C120" s="6">
        <v>11</v>
      </c>
      <c r="D120" s="2">
        <v>5</v>
      </c>
      <c r="E120" s="21" t="s">
        <v>26</v>
      </c>
      <c r="F120" s="24" t="s">
        <v>24</v>
      </c>
      <c r="G120" s="30">
        <v>24</v>
      </c>
      <c r="H120" s="22">
        <v>0.13472222222222222</v>
      </c>
      <c r="I120" s="6">
        <v>1</v>
      </c>
      <c r="J120" s="6" t="s">
        <v>22</v>
      </c>
      <c r="K120" s="6" t="s">
        <v>153</v>
      </c>
      <c r="L120" s="6" t="str">
        <f t="shared" si="4"/>
        <v>S10_I5_A15_S100_T1_Use</v>
      </c>
    </row>
    <row r="121" spans="1:12" s="10" customFormat="1" ht="15.75" thickBot="1" x14ac:dyDescent="0.3">
      <c r="A121" s="6">
        <v>293</v>
      </c>
      <c r="B121" s="9" t="s">
        <v>10</v>
      </c>
      <c r="C121" s="9">
        <v>12</v>
      </c>
      <c r="D121" s="8">
        <v>5</v>
      </c>
      <c r="E121" s="12" t="s">
        <v>26</v>
      </c>
      <c r="F121" s="26" t="s">
        <v>25</v>
      </c>
      <c r="G121" s="32">
        <v>27</v>
      </c>
      <c r="H121" s="11">
        <v>0.14027777777777778</v>
      </c>
      <c r="I121" s="9">
        <v>2</v>
      </c>
      <c r="J121" s="9" t="s">
        <v>22</v>
      </c>
      <c r="K121" s="9" t="s">
        <v>154</v>
      </c>
      <c r="L121" s="6" t="str">
        <f t="shared" si="4"/>
        <v>S10_I5_A15_S115_T2_Use</v>
      </c>
    </row>
  </sheetData>
  <autoFilter ref="A1:L121" xr:uid="{D56FE774-3667-45A3-A378-5DBD21E586C0}"/>
  <conditionalFormatting sqref="J1:J1048576">
    <cfRule type="containsText" dxfId="0" priority="5" operator="containsText" text="Use">
      <formula>NOT(ISERROR(SEARCH("Use",J1)))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6130-75BD-4CE6-9A6C-6462A26F84C0}">
  <dimension ref="A1:I11"/>
  <sheetViews>
    <sheetView workbookViewId="0">
      <selection activeCell="D15" sqref="D15"/>
    </sheetView>
  </sheetViews>
  <sheetFormatPr defaultRowHeight="15" x14ac:dyDescent="0.25"/>
  <sheetData>
    <row r="1" spans="1:9" x14ac:dyDescent="0.25">
      <c r="A1" t="s">
        <v>0</v>
      </c>
      <c r="B1" t="s">
        <v>27</v>
      </c>
      <c r="C1" t="s">
        <v>28</v>
      </c>
      <c r="D1" t="s">
        <v>29</v>
      </c>
      <c r="E1" t="s">
        <v>30</v>
      </c>
      <c r="F1" s="35" t="s">
        <v>31</v>
      </c>
      <c r="G1" s="35" t="s">
        <v>32</v>
      </c>
      <c r="H1" s="35" t="s">
        <v>33</v>
      </c>
      <c r="I1" s="35" t="s">
        <v>34</v>
      </c>
    </row>
    <row r="2" spans="1:9" x14ac:dyDescent="0.25">
      <c r="A2" t="s">
        <v>1</v>
      </c>
      <c r="B2">
        <v>80.22</v>
      </c>
      <c r="C2">
        <v>80.8603847723207</v>
      </c>
      <c r="D2">
        <v>7.9651676447942998</v>
      </c>
      <c r="E2">
        <v>12.830590320012</v>
      </c>
      <c r="F2" s="36">
        <v>45.9129</v>
      </c>
      <c r="G2" s="36">
        <v>100.8172</v>
      </c>
      <c r="H2" s="36">
        <v>25.154199999999999</v>
      </c>
      <c r="I2" s="36">
        <v>247.4136</v>
      </c>
    </row>
    <row r="3" spans="1:9" x14ac:dyDescent="0.25">
      <c r="A3" t="s">
        <v>2</v>
      </c>
      <c r="B3">
        <v>62.98</v>
      </c>
      <c r="C3">
        <v>83.188360717404393</v>
      </c>
      <c r="D3">
        <v>8.9899307846176892</v>
      </c>
      <c r="E3">
        <v>12.5425298353779</v>
      </c>
      <c r="F3" s="36">
        <v>154.67439999999999</v>
      </c>
      <c r="G3" s="36">
        <v>147.69049999999999</v>
      </c>
      <c r="H3" s="36">
        <v>121.7724</v>
      </c>
      <c r="I3" s="36">
        <v>244.98679999999999</v>
      </c>
    </row>
    <row r="4" spans="1:9" x14ac:dyDescent="0.25">
      <c r="A4" t="s">
        <v>3</v>
      </c>
      <c r="B4">
        <v>79.34</v>
      </c>
      <c r="C4">
        <v>68.737888505129803</v>
      </c>
      <c r="D4">
        <v>8.5918604503895502</v>
      </c>
      <c r="E4">
        <v>13.1910559587043</v>
      </c>
      <c r="F4" s="36">
        <v>151.1557</v>
      </c>
      <c r="G4" s="36">
        <v>136.1335</v>
      </c>
      <c r="H4" s="36">
        <v>72.792100000000005</v>
      </c>
      <c r="I4" s="36">
        <v>319.20589999999999</v>
      </c>
    </row>
    <row r="5" spans="1:9" x14ac:dyDescent="0.25">
      <c r="A5" t="s">
        <v>4</v>
      </c>
      <c r="B5">
        <v>65.930000000000007</v>
      </c>
      <c r="C5">
        <v>84.994309970656801</v>
      </c>
      <c r="D5">
        <v>10.003066672077001</v>
      </c>
      <c r="E5">
        <v>12.9936819790834</v>
      </c>
      <c r="F5" s="36">
        <v>167.62270000000001</v>
      </c>
      <c r="G5" s="36">
        <v>73.441999999999993</v>
      </c>
      <c r="H5" s="36">
        <v>116.1283</v>
      </c>
      <c r="I5" s="36">
        <v>205.67789999999999</v>
      </c>
    </row>
    <row r="6" spans="1:9" x14ac:dyDescent="0.25">
      <c r="A6" t="s">
        <v>5</v>
      </c>
      <c r="B6">
        <v>66.33</v>
      </c>
      <c r="C6">
        <v>64.729798222510794</v>
      </c>
      <c r="D6">
        <v>9.1241282763637006</v>
      </c>
      <c r="E6">
        <v>14.028716799171599</v>
      </c>
      <c r="F6" s="36">
        <v>328.94380000000001</v>
      </c>
      <c r="G6" s="36">
        <v>240.49170000000001</v>
      </c>
      <c r="H6" s="36">
        <v>110.9525</v>
      </c>
      <c r="I6" s="36">
        <v>566.98410000000001</v>
      </c>
    </row>
    <row r="7" spans="1:9" x14ac:dyDescent="0.25">
      <c r="A7" t="s">
        <v>6</v>
      </c>
      <c r="B7">
        <v>100.29</v>
      </c>
      <c r="C7">
        <v>87.791461885703896</v>
      </c>
      <c r="D7">
        <v>7.5668710853841104</v>
      </c>
      <c r="E7">
        <v>11.1551172242695</v>
      </c>
      <c r="F7" s="36">
        <v>210.1996</v>
      </c>
      <c r="G7" s="36">
        <v>137.51509999999999</v>
      </c>
      <c r="H7" s="36">
        <v>48.428100000000001</v>
      </c>
      <c r="I7" s="36">
        <v>227.22790000000001</v>
      </c>
    </row>
    <row r="8" spans="1:9" x14ac:dyDescent="0.25">
      <c r="A8" t="s">
        <v>7</v>
      </c>
      <c r="B8">
        <v>63.91</v>
      </c>
      <c r="C8">
        <v>67.701276111462406</v>
      </c>
      <c r="D8">
        <v>10.090340371879799</v>
      </c>
      <c r="E8">
        <v>13.6682976279972</v>
      </c>
      <c r="F8" s="36">
        <v>127.1374</v>
      </c>
      <c r="G8" s="36">
        <v>127.3449</v>
      </c>
      <c r="H8" s="36">
        <v>92.112399999999994</v>
      </c>
      <c r="I8" s="36">
        <v>246.3835</v>
      </c>
    </row>
    <row r="9" spans="1:9" x14ac:dyDescent="0.25">
      <c r="A9" t="s">
        <v>8</v>
      </c>
      <c r="B9">
        <v>73.22</v>
      </c>
      <c r="C9">
        <v>75.714021350121101</v>
      </c>
      <c r="D9">
        <v>9.4719952062924708</v>
      </c>
      <c r="E9">
        <v>13.483935385438601</v>
      </c>
      <c r="F9" s="36">
        <v>121.3002</v>
      </c>
      <c r="G9" s="36">
        <v>46.822499999999998</v>
      </c>
      <c r="H9" s="36">
        <v>113.2991</v>
      </c>
      <c r="I9" s="36">
        <v>194.2868</v>
      </c>
    </row>
    <row r="10" spans="1:9" x14ac:dyDescent="0.25">
      <c r="A10" t="s">
        <v>9</v>
      </c>
      <c r="B10">
        <v>90.58</v>
      </c>
      <c r="C10">
        <v>86.009526708301294</v>
      </c>
      <c r="D10">
        <v>8.0113641080693991</v>
      </c>
      <c r="E10">
        <v>10.705404592537899</v>
      </c>
      <c r="F10" s="36">
        <v>255.08189999999999</v>
      </c>
      <c r="G10" s="36">
        <v>147.75</v>
      </c>
      <c r="H10" s="36">
        <v>119.5318</v>
      </c>
      <c r="I10" s="36">
        <v>435.57900000000001</v>
      </c>
    </row>
    <row r="11" spans="1:9" x14ac:dyDescent="0.25">
      <c r="A11" t="s">
        <v>10</v>
      </c>
      <c r="B11">
        <v>67.510000000000005</v>
      </c>
      <c r="C11">
        <v>70.525514104199203</v>
      </c>
      <c r="D11">
        <v>9.9908465630272296</v>
      </c>
      <c r="E11">
        <v>15.553671245276201</v>
      </c>
      <c r="F11" s="36">
        <v>154.08320000000001</v>
      </c>
      <c r="G11" s="36">
        <v>62.929699999999997</v>
      </c>
      <c r="H11" s="36">
        <v>49.8752</v>
      </c>
      <c r="I11" s="36">
        <v>262.0763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Collection</vt:lpstr>
      <vt:lpstr>Normalising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Zheng</dc:creator>
  <cp:keywords/>
  <dc:description/>
  <cp:lastModifiedBy>Tina Zheng</cp:lastModifiedBy>
  <cp:revision/>
  <dcterms:created xsi:type="dcterms:W3CDTF">2026-02-11T23:48:41Z</dcterms:created>
  <dcterms:modified xsi:type="dcterms:W3CDTF">2026-05-24T12:05:01Z</dcterms:modified>
  <cp:category/>
  <cp:contentStatus/>
</cp:coreProperties>
</file>